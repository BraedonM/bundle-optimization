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45" windowWidth="29040" windowHeight="15720" tabRatio="600" firstSheet="0" activeTab="0" autoFilterDateGrouping="1"/>
  </bookViews>
  <sheets>
    <sheet name="Optimized_Bundles" sheetId="1" state="visible" r:id="rId1"/>
    <sheet name="Order_Comparison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</fonts>
  <fills count="3">
    <fill>
      <patternFill/>
    </fill>
    <fill>
      <patternFill patternType="gray125"/>
    </fill>
    <fill>
      <patternFill patternType="solid">
        <fgColor rgb="00d9e7fd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1" fillId="0" borderId="0" pivotButton="0" quotePrefix="0" xfId="0"/>
    <xf numFmtId="14" fontId="1" fillId="0" borderId="0" pivotButton="0" quotePrefix="0" xfId="0"/>
    <xf numFmtId="0" fontId="1" fillId="0" borderId="0" pivotButton="0" quotePrefix="0" xfId="0"/>
    <xf numFmtId="14" fontId="1" fillId="0" borderId="0" pivotButton="0" quotePrefix="0" xfId="0"/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OptimizedBundlesTable" displayName="OptimizedBundlesTable" ref="A1:AF13" headerRowCount="1">
  <autoFilter ref="A1:AF13"/>
  <tableColumns count="32">
    <tableColumn id="1" name="OrderType"/>
    <tableColumn id="2" name="OrderNbr"/>
    <tableColumn id="3" name="BundleNbr"/>
    <tableColumn id="4" name="Bdl_Override"/>
    <tableColumn id="5" name="Machine"/>
    <tableColumn id="6" name="ReviewedBy"/>
    <tableColumn id="7" name="ApprovedBy"/>
    <tableColumn id="8" name="InventoryID"/>
    <tableColumn id="9" name="Quantity"/>
    <tableColumn id="10" name="Pcs/Bundle"/>
    <tableColumn id="11" name="TotalPcs"/>
    <tableColumn id="12" name="Width_in"/>
    <tableColumn id="13" name="Height_in"/>
    <tableColumn id="14" name="Length_in"/>
    <tableColumn id="15" name="Weight_lbs"/>
    <tableColumn id="16" name="UOM"/>
    <tableColumn id="17" name="Description"/>
    <tableColumn id="18" name="ShipTo"/>
    <tableColumn id="19" name="AddressLine1"/>
    <tableColumn id="20" name="AddressLine2"/>
    <tableColumn id="21" name="City"/>
    <tableColumn id="22" name="State"/>
    <tableColumn id="23" name="Country"/>
    <tableColumn id="24" name="Status"/>
    <tableColumn id="25" name="OrderDate"/>
    <tableColumn id="26" name="ProdReleaseDate"/>
    <tableColumn id="27" name="SchedShipDate"/>
    <tableColumn id="28" name="TargetArrival"/>
    <tableColumn id="29" name="NotBefore"/>
    <tableColumn id="30" name="ShipVia"/>
    <tableColumn id="31" name="LastModifiedOn"/>
    <tableColumn id="32" name="OptimizedOn"/>
  </tableColumns>
  <tableStyleInfo name="TableStyleMedium9" showFirstColumn="0" showLastColumn="0" showRowStripes="1"/>
</table>
</file>

<file path=xl/tables/table2.xml><?xml version="1.0" encoding="utf-8"?>
<table xmlns="http://schemas.openxmlformats.org/spreadsheetml/2006/main" id="2" name="OrderComparisonTable" displayName="OrderComparisonTable" ref="A1:G2" headerRowCount="1">
  <autoFilter ref="A1:G2"/>
  <tableColumns count="7">
    <tableColumn id="1" name="SOrderNbr"/>
    <tableColumn id="2" name="Opt_Bund"/>
    <tableColumn id="3" name="Actual_Bund"/>
    <tableColumn id="4" name="Bundle_Error"/>
    <tableColumn id="5" name="Opt_lbs"/>
    <tableColumn id="6" name="Actual_lbs"/>
    <tableColumn id="7" name="lbs_Error"/>
  </tableColumns>
  <tableStyleInfo name="TableStyleNone" showFirstColumn="0" showLastColumn="0" showRowStripes="1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3"/>
  <sheetViews>
    <sheetView workbookViewId="0">
      <selection activeCell="A1" sqref="A1"/>
    </sheetView>
  </sheetViews>
  <sheetFormatPr baseColWidth="8" defaultRowHeight="15"/>
  <sheetData>
    <row r="1" s="6">
      <c r="A1" t="inlineStr">
        <is>
          <t>OrderType</t>
        </is>
      </c>
      <c r="B1" t="inlineStr">
        <is>
          <t>OrderNbr</t>
        </is>
      </c>
      <c r="C1" t="inlineStr">
        <is>
          <t>BundleNbr</t>
        </is>
      </c>
      <c r="D1" t="inlineStr">
        <is>
          <t>Bdl_Override</t>
        </is>
      </c>
      <c r="E1" t="inlineStr">
        <is>
          <t>Machine</t>
        </is>
      </c>
      <c r="F1" t="inlineStr">
        <is>
          <t>ReviewedBy</t>
        </is>
      </c>
      <c r="G1" t="inlineStr">
        <is>
          <t>ApprovedBy</t>
        </is>
      </c>
      <c r="H1" t="inlineStr">
        <is>
          <t>InventoryID</t>
        </is>
      </c>
      <c r="I1" t="inlineStr">
        <is>
          <t>Quantity</t>
        </is>
      </c>
      <c r="J1" t="inlineStr">
        <is>
          <t>Pcs/Bundle</t>
        </is>
      </c>
      <c r="K1" t="inlineStr">
        <is>
          <t>TotalPcs</t>
        </is>
      </c>
      <c r="L1" t="inlineStr">
        <is>
          <t>Width_in</t>
        </is>
      </c>
      <c r="M1" t="inlineStr">
        <is>
          <t>Height_in</t>
        </is>
      </c>
      <c r="N1" t="inlineStr">
        <is>
          <t>Length_in</t>
        </is>
      </c>
      <c r="O1" t="inlineStr">
        <is>
          <t>Weight_lbs</t>
        </is>
      </c>
      <c r="P1" t="inlineStr">
        <is>
          <t>UOM</t>
        </is>
      </c>
      <c r="Q1" t="inlineStr">
        <is>
          <t>Description</t>
        </is>
      </c>
      <c r="R1" t="inlineStr">
        <is>
          <t>ShipTo</t>
        </is>
      </c>
      <c r="S1" t="inlineStr">
        <is>
          <t>AddressLine1</t>
        </is>
      </c>
      <c r="T1" t="inlineStr">
        <is>
          <t>AddressLine2</t>
        </is>
      </c>
      <c r="U1" t="inlineStr">
        <is>
          <t>City</t>
        </is>
      </c>
      <c r="V1" t="inlineStr">
        <is>
          <t>State</t>
        </is>
      </c>
      <c r="W1" t="inlineStr">
        <is>
          <t>Country</t>
        </is>
      </c>
      <c r="X1" t="inlineStr">
        <is>
          <t>Status</t>
        </is>
      </c>
      <c r="Y1" t="inlineStr">
        <is>
          <t>OrderDate</t>
        </is>
      </c>
      <c r="Z1" t="inlineStr">
        <is>
          <t>ProdReleaseDate</t>
        </is>
      </c>
      <c r="AA1" t="inlineStr">
        <is>
          <t>SchedShipDate</t>
        </is>
      </c>
      <c r="AB1" t="inlineStr">
        <is>
          <t>TargetArrival</t>
        </is>
      </c>
      <c r="AC1" t="inlineStr">
        <is>
          <t>NotBefore</t>
        </is>
      </c>
      <c r="AD1" t="inlineStr">
        <is>
          <t>ShipVia</t>
        </is>
      </c>
      <c r="AE1" t="inlineStr">
        <is>
          <t>LastModifiedOn</t>
        </is>
      </c>
      <c r="AF1" t="inlineStr">
        <is>
          <t>OptimizedOn</t>
        </is>
      </c>
    </row>
    <row r="2" s="6">
      <c r="A2" t="inlineStr">
        <is>
          <t>SO</t>
        </is>
      </c>
      <c r="B2" t="n">
        <v>1015210</v>
      </c>
      <c r="C2" t="inlineStr">
        <is>
          <t>ALL</t>
        </is>
      </c>
      <c r="D2" t="inlineStr"/>
      <c r="E2" t="inlineStr"/>
      <c r="F2" t="inlineStr"/>
      <c r="G2" t="inlineStr"/>
      <c r="H2" t="inlineStr">
        <is>
          <t>Total_Order</t>
        </is>
      </c>
      <c r="I2" t="n">
        <v>10</v>
      </c>
      <c r="J2" t="inlineStr">
        <is>
          <t>N/A</t>
        </is>
      </c>
      <c r="K2" t="n">
        <v>116</v>
      </c>
      <c r="L2" t="inlineStr">
        <is>
          <t>N/A</t>
        </is>
      </c>
      <c r="M2" t="inlineStr">
        <is>
          <t>N/A</t>
        </is>
      </c>
      <c r="N2" t="inlineStr">
        <is>
          <t>N/A</t>
        </is>
      </c>
      <c r="O2" t="n">
        <v>44</v>
      </c>
      <c r="P2" t="inlineStr"/>
      <c r="Q2" t="inlineStr">
        <is>
          <t>Total Order Summary</t>
        </is>
      </c>
      <c r="R2" t="inlineStr">
        <is>
          <t>Rinell Wood Systems Inc.</t>
        </is>
      </c>
      <c r="S2" t="inlineStr">
        <is>
          <t>2706 Kilihau St.</t>
        </is>
      </c>
      <c r="T2" t="inlineStr">
        <is>
          <t>Unit 100</t>
        </is>
      </c>
      <c r="U2" t="inlineStr">
        <is>
          <t>Honolulu</t>
        </is>
      </c>
      <c r="V2" t="inlineStr">
        <is>
          <t>HI</t>
        </is>
      </c>
      <c r="W2" t="inlineStr">
        <is>
          <t>US</t>
        </is>
      </c>
      <c r="X2" t="inlineStr">
        <is>
          <t>Shipping</t>
        </is>
      </c>
      <c r="Y2" t="inlineStr">
        <is>
          <t>2025-10-31</t>
        </is>
      </c>
      <c r="Z2" t="inlineStr">
        <is>
          <t>2025-11-04</t>
        </is>
      </c>
      <c r="AA2" t="inlineStr">
        <is>
          <t>2025-11-04</t>
        </is>
      </c>
      <c r="AD2" t="inlineStr">
        <is>
          <t>COMMONCARRIER</t>
        </is>
      </c>
      <c r="AE2" t="inlineStr">
        <is>
          <t>2025-11-06</t>
        </is>
      </c>
      <c r="AF2" t="inlineStr">
        <is>
          <t>2026-01-02</t>
        </is>
      </c>
    </row>
    <row r="3" outlineLevel="1" s="6">
      <c r="A3" t="inlineStr">
        <is>
          <t>SO</t>
        </is>
      </c>
      <c r="B3" t="n">
        <v>1015210</v>
      </c>
      <c r="C3" t="inlineStr">
        <is>
          <t>1_ALL</t>
        </is>
      </c>
      <c r="D3" t="inlineStr"/>
      <c r="E3" t="inlineStr">
        <is>
          <t>MIXED</t>
        </is>
      </c>
      <c r="F3" t="inlineStr"/>
      <c r="G3" t="inlineStr"/>
      <c r="H3" t="inlineStr">
        <is>
          <t>Total_Bundle_1</t>
        </is>
      </c>
      <c r="I3" t="n">
        <v>10</v>
      </c>
      <c r="J3" t="inlineStr">
        <is>
          <t>N/A</t>
        </is>
      </c>
      <c r="K3" t="n">
        <v>116</v>
      </c>
      <c r="L3" t="n">
        <v>19</v>
      </c>
      <c r="M3" t="n">
        <v>7</v>
      </c>
      <c r="N3" t="n">
        <v>145</v>
      </c>
      <c r="O3" t="n">
        <v>44</v>
      </c>
      <c r="P3" t="inlineStr"/>
      <c r="Q3" t="inlineStr">
        <is>
          <t>Bundle 1 Summary</t>
        </is>
      </c>
      <c r="R3" t="inlineStr">
        <is>
          <t>Rinell Wood Systems Inc.</t>
        </is>
      </c>
      <c r="S3" t="inlineStr">
        <is>
          <t>2706 Kilihau St.</t>
        </is>
      </c>
      <c r="T3" t="inlineStr">
        <is>
          <t>Unit 100</t>
        </is>
      </c>
      <c r="U3" t="inlineStr">
        <is>
          <t>Honolulu</t>
        </is>
      </c>
      <c r="V3" t="inlineStr">
        <is>
          <t>HI</t>
        </is>
      </c>
      <c r="W3" t="inlineStr">
        <is>
          <t>US</t>
        </is>
      </c>
      <c r="X3" t="inlineStr">
        <is>
          <t>Shipping</t>
        </is>
      </c>
      <c r="Y3" t="inlineStr">
        <is>
          <t>2025-10-31</t>
        </is>
      </c>
      <c r="Z3" t="inlineStr">
        <is>
          <t>2025-11-04</t>
        </is>
      </c>
      <c r="AA3" t="inlineStr">
        <is>
          <t>2025-11-04</t>
        </is>
      </c>
      <c r="AD3" t="inlineStr">
        <is>
          <t>COMMONCARRIER</t>
        </is>
      </c>
      <c r="AE3" t="inlineStr">
        <is>
          <t>2025-11-06</t>
        </is>
      </c>
      <c r="AF3" t="inlineStr">
        <is>
          <t>2026-01-02</t>
        </is>
      </c>
    </row>
    <row r="4" outlineLevel="2" s="6">
      <c r="A4" t="inlineStr">
        <is>
          <t>SO</t>
        </is>
      </c>
      <c r="B4" t="n">
        <v>1015210</v>
      </c>
      <c r="C4" t="n">
        <v>1</v>
      </c>
      <c r="E4" t="inlineStr">
        <is>
          <t>MIXED</t>
        </is>
      </c>
      <c r="F4" t="inlineStr"/>
      <c r="G4" t="inlineStr"/>
      <c r="H4" t="inlineStr">
        <is>
          <t>LLTAPE.1296_Partial</t>
        </is>
      </c>
      <c r="I4" t="n">
        <v>1</v>
      </c>
      <c r="J4" t="n">
        <v>5</v>
      </c>
      <c r="K4" t="n">
        <v>5</v>
      </c>
      <c r="L4" t="n">
        <v>14</v>
      </c>
      <c r="M4" t="n">
        <v>3.1</v>
      </c>
      <c r="N4" t="n">
        <v>14</v>
      </c>
      <c r="O4" t="n">
        <v>6.6</v>
      </c>
      <c r="P4" t="inlineStr">
        <is>
          <t>EA</t>
        </is>
      </c>
      <c r="Q4" t="inlineStr">
        <is>
          <t>Link &amp; Lock Internal Stiffener - Double Sided Mounting Tape - 10 108 feet</t>
        </is>
      </c>
      <c r="R4" t="inlineStr">
        <is>
          <t>Rinell Wood Systems Inc.</t>
        </is>
      </c>
      <c r="S4" t="inlineStr">
        <is>
          <t>2706 Kilihau St.</t>
        </is>
      </c>
      <c r="T4" t="inlineStr">
        <is>
          <t>Unit 100</t>
        </is>
      </c>
      <c r="U4" t="inlineStr">
        <is>
          <t>Honolulu</t>
        </is>
      </c>
      <c r="V4" t="inlineStr">
        <is>
          <t>HI</t>
        </is>
      </c>
      <c r="W4" t="inlineStr">
        <is>
          <t>US</t>
        </is>
      </c>
      <c r="X4" t="inlineStr">
        <is>
          <t>Shipping</t>
        </is>
      </c>
      <c r="Y4" t="inlineStr">
        <is>
          <t>2025-10-31</t>
        </is>
      </c>
      <c r="Z4" t="inlineStr">
        <is>
          <t>2025-11-04</t>
        </is>
      </c>
      <c r="AA4" t="inlineStr">
        <is>
          <t>2025-11-04</t>
        </is>
      </c>
      <c r="AD4" t="inlineStr">
        <is>
          <t>COMMONCARRIER</t>
        </is>
      </c>
      <c r="AE4" t="inlineStr">
        <is>
          <t>2025-11-06</t>
        </is>
      </c>
      <c r="AF4" t="inlineStr">
        <is>
          <t>2026-01-02</t>
        </is>
      </c>
    </row>
    <row r="5" outlineLevel="2" s="6">
      <c r="A5" t="inlineStr">
        <is>
          <t>SO</t>
        </is>
      </c>
      <c r="B5" t="n">
        <v>1015210</v>
      </c>
      <c r="C5" t="n">
        <v>1</v>
      </c>
      <c r="E5" t="inlineStr">
        <is>
          <t>MIXED</t>
        </is>
      </c>
      <c r="F5" t="inlineStr"/>
      <c r="G5" t="inlineStr"/>
      <c r="H5" t="inlineStr">
        <is>
          <t>LLIW.N48</t>
        </is>
      </c>
      <c r="I5" t="n">
        <v>1</v>
      </c>
      <c r="J5" t="n">
        <v>48</v>
      </c>
      <c r="K5" t="n">
        <v>48</v>
      </c>
      <c r="L5" t="n">
        <v>3</v>
      </c>
      <c r="M5" t="n">
        <v>1</v>
      </c>
      <c r="N5" t="n">
        <v>4</v>
      </c>
      <c r="O5" t="n">
        <v>0.2</v>
      </c>
      <c r="P5" t="inlineStr">
        <is>
          <t>BOX48</t>
        </is>
      </c>
      <c r="Q5" t="inlineStr">
        <is>
          <t>Link &amp; Lock Isolation Washer Box of 48</t>
        </is>
      </c>
      <c r="R5" t="inlineStr">
        <is>
          <t>Rinell Wood Systems Inc.</t>
        </is>
      </c>
      <c r="S5" t="inlineStr">
        <is>
          <t>2706 Kilihau St.</t>
        </is>
      </c>
      <c r="T5" t="inlineStr">
        <is>
          <t>Unit 100</t>
        </is>
      </c>
      <c r="U5" t="inlineStr">
        <is>
          <t>Honolulu</t>
        </is>
      </c>
      <c r="V5" t="inlineStr">
        <is>
          <t>HI</t>
        </is>
      </c>
      <c r="W5" t="inlineStr">
        <is>
          <t>US</t>
        </is>
      </c>
      <c r="X5" t="inlineStr">
        <is>
          <t>Shipping</t>
        </is>
      </c>
      <c r="Y5" t="inlineStr">
        <is>
          <t>2025-10-31</t>
        </is>
      </c>
      <c r="Z5" t="inlineStr">
        <is>
          <t>2025-11-04</t>
        </is>
      </c>
      <c r="AA5" t="inlineStr">
        <is>
          <t>2025-11-04</t>
        </is>
      </c>
      <c r="AD5" t="inlineStr">
        <is>
          <t>COMMONCARRIER</t>
        </is>
      </c>
      <c r="AE5" t="inlineStr">
        <is>
          <t>2025-11-06</t>
        </is>
      </c>
      <c r="AF5" t="inlineStr">
        <is>
          <t>2026-01-02</t>
        </is>
      </c>
    </row>
    <row r="6" outlineLevel="2" s="6">
      <c r="A6" t="inlineStr">
        <is>
          <t>SO</t>
        </is>
      </c>
      <c r="B6" t="n">
        <v>1015210</v>
      </c>
      <c r="C6" t="n">
        <v>1</v>
      </c>
      <c r="E6" t="inlineStr">
        <is>
          <t>MIXED</t>
        </is>
      </c>
      <c r="F6" t="inlineStr"/>
      <c r="G6" t="inlineStr"/>
      <c r="H6" t="inlineStr">
        <is>
          <t>LLMC.N48</t>
        </is>
      </c>
      <c r="I6" t="n">
        <v>1</v>
      </c>
      <c r="J6" t="n">
        <v>48</v>
      </c>
      <c r="K6" t="n">
        <v>48</v>
      </c>
      <c r="L6" t="n">
        <v>1</v>
      </c>
      <c r="M6" t="n">
        <v>0.8</v>
      </c>
      <c r="N6" t="n">
        <v>1</v>
      </c>
      <c r="O6" t="n">
        <v>0.7</v>
      </c>
      <c r="P6" t="inlineStr">
        <is>
          <t>BOX48</t>
        </is>
      </c>
      <c r="Q6" t="inlineStr">
        <is>
          <t>Link &amp; Lock Mounting Clip Box of 48</t>
        </is>
      </c>
      <c r="R6" t="inlineStr">
        <is>
          <t>Rinell Wood Systems Inc.</t>
        </is>
      </c>
      <c r="S6" t="inlineStr">
        <is>
          <t>2706 Kilihau St.</t>
        </is>
      </c>
      <c r="T6" t="inlineStr">
        <is>
          <t>Unit 100</t>
        </is>
      </c>
      <c r="U6" t="inlineStr">
        <is>
          <t>Honolulu</t>
        </is>
      </c>
      <c r="V6" t="inlineStr">
        <is>
          <t>HI</t>
        </is>
      </c>
      <c r="W6" t="inlineStr">
        <is>
          <t>US</t>
        </is>
      </c>
      <c r="X6" t="inlineStr">
        <is>
          <t>Shipping</t>
        </is>
      </c>
      <c r="Y6" t="inlineStr">
        <is>
          <t>2025-10-31</t>
        </is>
      </c>
      <c r="Z6" t="inlineStr">
        <is>
          <t>2025-11-04</t>
        </is>
      </c>
      <c r="AA6" t="inlineStr">
        <is>
          <t>2025-11-04</t>
        </is>
      </c>
      <c r="AD6" t="inlineStr">
        <is>
          <t>COMMONCARRIER</t>
        </is>
      </c>
      <c r="AE6" t="inlineStr">
        <is>
          <t>2025-11-06</t>
        </is>
      </c>
      <c r="AF6" t="inlineStr">
        <is>
          <t>2026-01-02</t>
        </is>
      </c>
    </row>
    <row r="7" outlineLevel="3" s="6">
      <c r="A7" t="inlineStr">
        <is>
          <t>SO</t>
        </is>
      </c>
      <c r="B7" t="n">
        <v>1015210</v>
      </c>
      <c r="C7" t="n">
        <v>1</v>
      </c>
      <c r="E7" t="inlineStr">
        <is>
          <t>MIXED</t>
        </is>
      </c>
      <c r="F7" t="inlineStr"/>
      <c r="G7" t="inlineStr"/>
      <c r="H7" t="inlineStr">
        <is>
          <t>Pack_Angle_3680</t>
        </is>
      </c>
      <c r="I7" t="n">
        <v>1</v>
      </c>
      <c r="J7" t="n">
        <v>4</v>
      </c>
      <c r="K7" t="n">
        <v>4</v>
      </c>
      <c r="L7" t="n">
        <v>3</v>
      </c>
      <c r="M7" t="n">
        <v>0.2</v>
      </c>
      <c r="N7" t="n">
        <v>144</v>
      </c>
      <c r="O7" t="n">
        <v>12</v>
      </c>
      <c r="P7" t="inlineStr"/>
      <c r="Q7" t="inlineStr">
        <is>
          <t>PRINTED ANGLEBOARD</t>
        </is>
      </c>
      <c r="R7" t="inlineStr">
        <is>
          <t>Rinell Wood Systems Inc.</t>
        </is>
      </c>
      <c r="S7" t="inlineStr">
        <is>
          <t>2706 Kilihau St.</t>
        </is>
      </c>
      <c r="T7" t="inlineStr">
        <is>
          <t>Unit 100</t>
        </is>
      </c>
      <c r="U7" t="inlineStr">
        <is>
          <t>Honolulu</t>
        </is>
      </c>
      <c r="V7" t="inlineStr">
        <is>
          <t>HI</t>
        </is>
      </c>
      <c r="W7" t="inlineStr">
        <is>
          <t>US</t>
        </is>
      </c>
      <c r="X7" t="inlineStr">
        <is>
          <t>Shipping</t>
        </is>
      </c>
      <c r="Y7" t="inlineStr">
        <is>
          <t>2025-10-31</t>
        </is>
      </c>
      <c r="Z7" t="inlineStr">
        <is>
          <t>2025-11-04</t>
        </is>
      </c>
      <c r="AA7" t="inlineStr">
        <is>
          <t>2025-11-04</t>
        </is>
      </c>
      <c r="AD7" t="inlineStr">
        <is>
          <t>COMMONCARRIER</t>
        </is>
      </c>
      <c r="AE7" t="inlineStr">
        <is>
          <t>2025-11-06</t>
        </is>
      </c>
      <c r="AF7" t="inlineStr">
        <is>
          <t>2026-01-02</t>
        </is>
      </c>
    </row>
    <row r="8" outlineLevel="3" s="6">
      <c r="A8" t="inlineStr">
        <is>
          <t>SO</t>
        </is>
      </c>
      <c r="B8" t="n">
        <v>1015210</v>
      </c>
      <c r="C8" t="n">
        <v>1</v>
      </c>
      <c r="E8" t="inlineStr">
        <is>
          <t>MIXED</t>
        </is>
      </c>
      <c r="F8" t="inlineStr"/>
      <c r="G8" t="inlineStr"/>
      <c r="H8" t="inlineStr">
        <is>
          <t>Pack_1x4x19_Dun_3680</t>
        </is>
      </c>
      <c r="I8" t="n">
        <v>1</v>
      </c>
      <c r="J8" t="n">
        <v>2</v>
      </c>
      <c r="K8" t="n">
        <v>2</v>
      </c>
      <c r="L8" t="n">
        <v>3.5</v>
      </c>
      <c r="M8" t="n">
        <v>0.7</v>
      </c>
      <c r="N8" t="n">
        <v>19</v>
      </c>
      <c r="O8" t="n">
        <v>2.2</v>
      </c>
      <c r="P8" t="inlineStr"/>
      <c r="Q8" t="inlineStr">
        <is>
          <t>1" X 4" X 19" DUNNAGE</t>
        </is>
      </c>
      <c r="R8" t="inlineStr">
        <is>
          <t>Rinell Wood Systems Inc.</t>
        </is>
      </c>
      <c r="S8" t="inlineStr">
        <is>
          <t>2706 Kilihau St.</t>
        </is>
      </c>
      <c r="T8" t="inlineStr">
        <is>
          <t>Unit 100</t>
        </is>
      </c>
      <c r="U8" t="inlineStr">
        <is>
          <t>Honolulu</t>
        </is>
      </c>
      <c r="V8" t="inlineStr">
        <is>
          <t>HI</t>
        </is>
      </c>
      <c r="W8" t="inlineStr">
        <is>
          <t>US</t>
        </is>
      </c>
      <c r="X8" t="inlineStr">
        <is>
          <t>Shipping</t>
        </is>
      </c>
      <c r="Y8" t="inlineStr">
        <is>
          <t>2025-10-31</t>
        </is>
      </c>
      <c r="Z8" t="inlineStr">
        <is>
          <t>2025-11-04</t>
        </is>
      </c>
      <c r="AA8" t="inlineStr">
        <is>
          <t>2025-11-04</t>
        </is>
      </c>
      <c r="AD8" t="inlineStr">
        <is>
          <t>COMMONCARRIER</t>
        </is>
      </c>
      <c r="AE8" t="inlineStr">
        <is>
          <t>2025-11-06</t>
        </is>
      </c>
      <c r="AF8" t="inlineStr">
        <is>
          <t>2026-01-02</t>
        </is>
      </c>
    </row>
    <row r="9" outlineLevel="3" s="6">
      <c r="A9" t="inlineStr">
        <is>
          <t>SO</t>
        </is>
      </c>
      <c r="B9" t="n">
        <v>1015210</v>
      </c>
      <c r="C9" t="n">
        <v>1</v>
      </c>
      <c r="E9" t="inlineStr">
        <is>
          <t>MIXED</t>
        </is>
      </c>
      <c r="F9" t="inlineStr"/>
      <c r="G9" t="inlineStr"/>
      <c r="H9" t="inlineStr">
        <is>
          <t>Pack_2x3x19_Dun_3680</t>
        </is>
      </c>
      <c r="I9" t="n">
        <v>1</v>
      </c>
      <c r="J9" t="n">
        <v>2</v>
      </c>
      <c r="K9" t="n">
        <v>2</v>
      </c>
      <c r="L9" t="n">
        <v>2.5</v>
      </c>
      <c r="M9" t="n">
        <v>1.5</v>
      </c>
      <c r="N9" t="n">
        <v>19</v>
      </c>
      <c r="O9" t="n">
        <v>4</v>
      </c>
      <c r="P9" t="inlineStr"/>
      <c r="Q9" t="inlineStr">
        <is>
          <t>2" X 3" X 19" DUNNAGE</t>
        </is>
      </c>
      <c r="R9" t="inlineStr">
        <is>
          <t>Rinell Wood Systems Inc.</t>
        </is>
      </c>
      <c r="S9" t="inlineStr">
        <is>
          <t>2706 Kilihau St.</t>
        </is>
      </c>
      <c r="T9" t="inlineStr">
        <is>
          <t>Unit 100</t>
        </is>
      </c>
      <c r="U9" t="inlineStr">
        <is>
          <t>Honolulu</t>
        </is>
      </c>
      <c r="V9" t="inlineStr">
        <is>
          <t>HI</t>
        </is>
      </c>
      <c r="W9" t="inlineStr">
        <is>
          <t>US</t>
        </is>
      </c>
      <c r="X9" t="inlineStr">
        <is>
          <t>Shipping</t>
        </is>
      </c>
      <c r="Y9" t="inlineStr">
        <is>
          <t>2025-10-31</t>
        </is>
      </c>
      <c r="Z9" t="inlineStr">
        <is>
          <t>2025-11-04</t>
        </is>
      </c>
      <c r="AA9" t="inlineStr">
        <is>
          <t>2025-11-04</t>
        </is>
      </c>
      <c r="AD9" t="inlineStr">
        <is>
          <t>COMMONCARRIER</t>
        </is>
      </c>
      <c r="AE9" t="inlineStr">
        <is>
          <t>2025-11-06</t>
        </is>
      </c>
      <c r="AF9" t="inlineStr">
        <is>
          <t>2026-01-02</t>
        </is>
      </c>
    </row>
    <row r="10" outlineLevel="3" s="6">
      <c r="A10" t="inlineStr">
        <is>
          <t>SO</t>
        </is>
      </c>
      <c r="B10" t="n">
        <v>1015210</v>
      </c>
      <c r="C10" t="n">
        <v>1</v>
      </c>
      <c r="E10" t="inlineStr">
        <is>
          <t>MIXED</t>
        </is>
      </c>
      <c r="F10" t="inlineStr"/>
      <c r="G10" t="inlineStr"/>
      <c r="H10" t="inlineStr">
        <is>
          <t>Pack_Sub_Bndl_Wrp_3680</t>
        </is>
      </c>
      <c r="I10" t="n">
        <v>1</v>
      </c>
      <c r="J10" t="n">
        <v>2</v>
      </c>
      <c r="K10" t="n">
        <v>2</v>
      </c>
      <c r="L10" t="n">
        <v>19</v>
      </c>
      <c r="M10" t="n">
        <v>0.1</v>
      </c>
      <c r="N10" t="n">
        <v>144</v>
      </c>
      <c r="O10" t="n">
        <v>5</v>
      </c>
      <c r="P10" t="inlineStr"/>
      <c r="Q10" t="inlineStr">
        <is>
          <t>Sub-Bundle Wrap - Crepe Paper/Stretch Film</t>
        </is>
      </c>
      <c r="R10" t="inlineStr">
        <is>
          <t>Rinell Wood Systems Inc.</t>
        </is>
      </c>
      <c r="S10" t="inlineStr">
        <is>
          <t>2706 Kilihau St.</t>
        </is>
      </c>
      <c r="T10" t="inlineStr">
        <is>
          <t>Unit 100</t>
        </is>
      </c>
      <c r="U10" t="inlineStr">
        <is>
          <t>Honolulu</t>
        </is>
      </c>
      <c r="V10" t="inlineStr">
        <is>
          <t>HI</t>
        </is>
      </c>
      <c r="W10" t="inlineStr">
        <is>
          <t>US</t>
        </is>
      </c>
      <c r="X10" t="inlineStr">
        <is>
          <t>Shipping</t>
        </is>
      </c>
      <c r="Y10" t="inlineStr">
        <is>
          <t>2025-10-31</t>
        </is>
      </c>
      <c r="Z10" t="inlineStr">
        <is>
          <t>2025-11-04</t>
        </is>
      </c>
      <c r="AA10" t="inlineStr">
        <is>
          <t>2025-11-04</t>
        </is>
      </c>
      <c r="AD10" t="inlineStr">
        <is>
          <t>COMMONCARRIER</t>
        </is>
      </c>
      <c r="AE10" t="inlineStr">
        <is>
          <t>2025-11-06</t>
        </is>
      </c>
      <c r="AF10" t="inlineStr">
        <is>
          <t>2026-01-02</t>
        </is>
      </c>
    </row>
    <row r="11" outlineLevel="3" s="6">
      <c r="A11" t="inlineStr">
        <is>
          <t>SO</t>
        </is>
      </c>
      <c r="B11" t="n">
        <v>1015210</v>
      </c>
      <c r="C11" t="n">
        <v>1</v>
      </c>
      <c r="E11" t="inlineStr">
        <is>
          <t>MIXED</t>
        </is>
      </c>
      <c r="F11" t="inlineStr"/>
      <c r="G11" t="inlineStr"/>
      <c r="H11" t="inlineStr">
        <is>
          <t>Pack_Mst_Bndl_Wrp_3680</t>
        </is>
      </c>
      <c r="I11" t="n">
        <v>1</v>
      </c>
      <c r="J11" t="n">
        <v>2</v>
      </c>
      <c r="K11" t="n">
        <v>2</v>
      </c>
      <c r="L11" t="n">
        <v>19</v>
      </c>
      <c r="M11" t="n">
        <v>0.1</v>
      </c>
      <c r="N11" t="n">
        <v>144</v>
      </c>
      <c r="O11" t="n">
        <v>1.1</v>
      </c>
      <c r="P11" t="inlineStr"/>
      <c r="Q11" t="inlineStr">
        <is>
          <t>Master Bundle - Stretch Wrap</t>
        </is>
      </c>
      <c r="R11" t="inlineStr">
        <is>
          <t>Rinell Wood Systems Inc.</t>
        </is>
      </c>
      <c r="S11" t="inlineStr">
        <is>
          <t>2706 Kilihau St.</t>
        </is>
      </c>
      <c r="T11" t="inlineStr">
        <is>
          <t>Unit 100</t>
        </is>
      </c>
      <c r="U11" t="inlineStr">
        <is>
          <t>Honolulu</t>
        </is>
      </c>
      <c r="V11" t="inlineStr">
        <is>
          <t>HI</t>
        </is>
      </c>
      <c r="W11" t="inlineStr">
        <is>
          <t>US</t>
        </is>
      </c>
      <c r="X11" t="inlineStr">
        <is>
          <t>Shipping</t>
        </is>
      </c>
      <c r="Y11" t="inlineStr">
        <is>
          <t>2025-10-31</t>
        </is>
      </c>
      <c r="Z11" t="inlineStr">
        <is>
          <t>2025-11-04</t>
        </is>
      </c>
      <c r="AA11" t="inlineStr">
        <is>
          <t>2025-11-04</t>
        </is>
      </c>
      <c r="AD11" t="inlineStr">
        <is>
          <t>COMMONCARRIER</t>
        </is>
      </c>
      <c r="AE11" t="inlineStr">
        <is>
          <t>2025-11-06</t>
        </is>
      </c>
      <c r="AF11" t="inlineStr">
        <is>
          <t>2026-01-02</t>
        </is>
      </c>
    </row>
    <row r="12" outlineLevel="3" s="6">
      <c r="A12" t="inlineStr">
        <is>
          <t>SO</t>
        </is>
      </c>
      <c r="B12" t="n">
        <v>1015210</v>
      </c>
      <c r="C12" t="n">
        <v>1</v>
      </c>
      <c r="E12" t="inlineStr">
        <is>
          <t>MIXED</t>
        </is>
      </c>
      <c r="F12" t="inlineStr"/>
      <c r="G12" t="inlineStr"/>
      <c r="H12" t="inlineStr">
        <is>
          <t>Pack_Pad_19_3680</t>
        </is>
      </c>
      <c r="I12" t="n">
        <v>1</v>
      </c>
      <c r="J12" t="n">
        <v>2</v>
      </c>
      <c r="K12" t="n">
        <v>2</v>
      </c>
      <c r="L12" t="n">
        <v>19</v>
      </c>
      <c r="M12" t="n">
        <v>0.1</v>
      </c>
      <c r="N12" t="n">
        <v>144</v>
      </c>
      <c r="O12" t="n">
        <v>6</v>
      </c>
      <c r="P12" t="inlineStr"/>
      <c r="Q12" t="inlineStr">
        <is>
          <t>PAD - 19" X 144" DW ECT #3 WHITE</t>
        </is>
      </c>
      <c r="R12" t="inlineStr">
        <is>
          <t>Rinell Wood Systems Inc.</t>
        </is>
      </c>
      <c r="S12" t="inlineStr">
        <is>
          <t>2706 Kilihau St.</t>
        </is>
      </c>
      <c r="T12" t="inlineStr">
        <is>
          <t>Unit 100</t>
        </is>
      </c>
      <c r="U12" t="inlineStr">
        <is>
          <t>Honolulu</t>
        </is>
      </c>
      <c r="V12" t="inlineStr">
        <is>
          <t>HI</t>
        </is>
      </c>
      <c r="W12" t="inlineStr">
        <is>
          <t>US</t>
        </is>
      </c>
      <c r="X12" t="inlineStr">
        <is>
          <t>Shipping</t>
        </is>
      </c>
      <c r="Y12" t="inlineStr">
        <is>
          <t>2025-10-31</t>
        </is>
      </c>
      <c r="Z12" t="inlineStr">
        <is>
          <t>2025-11-04</t>
        </is>
      </c>
      <c r="AA12" t="inlineStr">
        <is>
          <t>2025-11-04</t>
        </is>
      </c>
      <c r="AD12" t="inlineStr">
        <is>
          <t>COMMONCARRIER</t>
        </is>
      </c>
      <c r="AE12" t="inlineStr">
        <is>
          <t>2025-11-06</t>
        </is>
      </c>
      <c r="AF12" t="inlineStr">
        <is>
          <t>2026-01-02</t>
        </is>
      </c>
    </row>
    <row r="13" outlineLevel="2" s="6">
      <c r="A13" t="inlineStr">
        <is>
          <t>SO</t>
        </is>
      </c>
      <c r="B13" t="n">
        <v>1015210</v>
      </c>
      <c r="C13" t="n">
        <v>1</v>
      </c>
      <c r="E13" t="inlineStr">
        <is>
          <t>MIXED</t>
        </is>
      </c>
      <c r="F13" t="inlineStr"/>
      <c r="G13" t="inlineStr"/>
      <c r="H13" t="inlineStr">
        <is>
          <t>Pack_Lumber_3680</t>
        </is>
      </c>
      <c r="I13" t="n">
        <v>1</v>
      </c>
      <c r="J13" t="n">
        <v>1</v>
      </c>
      <c r="K13" t="n">
        <v>1</v>
      </c>
      <c r="L13" t="n">
        <v>3.5</v>
      </c>
      <c r="M13" t="n">
        <v>0.7</v>
      </c>
      <c r="N13" t="n">
        <v>144</v>
      </c>
      <c r="O13" t="n">
        <v>6</v>
      </c>
      <c r="P13" t="inlineStr"/>
      <c r="Q13" t="inlineStr">
        <is>
          <t>COMMON LUMBER - 1" X 4" X 12'</t>
        </is>
      </c>
      <c r="R13" t="inlineStr">
        <is>
          <t>Rinell Wood Systems Inc.</t>
        </is>
      </c>
      <c r="S13" t="inlineStr">
        <is>
          <t>2706 Kilihau St.</t>
        </is>
      </c>
      <c r="T13" t="inlineStr">
        <is>
          <t>Unit 100</t>
        </is>
      </c>
      <c r="U13" t="inlineStr">
        <is>
          <t>Honolulu</t>
        </is>
      </c>
      <c r="V13" t="inlineStr">
        <is>
          <t>HI</t>
        </is>
      </c>
      <c r="W13" t="inlineStr">
        <is>
          <t>US</t>
        </is>
      </c>
      <c r="X13" t="inlineStr">
        <is>
          <t>Shipping</t>
        </is>
      </c>
      <c r="Y13" t="inlineStr">
        <is>
          <t>2025-10-31</t>
        </is>
      </c>
      <c r="Z13" t="inlineStr">
        <is>
          <t>2025-11-04</t>
        </is>
      </c>
      <c r="AA13" t="inlineStr">
        <is>
          <t>2025-11-04</t>
        </is>
      </c>
      <c r="AD13" t="inlineStr">
        <is>
          <t>COMMONCARRIER</t>
        </is>
      </c>
      <c r="AE13" t="inlineStr">
        <is>
          <t>2025-11-06</t>
        </is>
      </c>
      <c r="AF13" t="inlineStr">
        <is>
          <t>2026-01-02</t>
        </is>
      </c>
    </row>
    <row r="14" outlineLevel="1" s="6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SOrderNbr</t>
        </is>
      </c>
      <c r="B1" t="inlineStr">
        <is>
          <t>Opt_Bund</t>
        </is>
      </c>
      <c r="C1" t="inlineStr">
        <is>
          <t>Actual_Bund</t>
        </is>
      </c>
      <c r="D1" t="inlineStr">
        <is>
          <t>Bundle_Error</t>
        </is>
      </c>
      <c r="E1" t="inlineStr">
        <is>
          <t>Opt_lbs</t>
        </is>
      </c>
      <c r="F1" t="inlineStr">
        <is>
          <t>Actual_lbs</t>
        </is>
      </c>
      <c r="G1" t="inlineStr">
        <is>
          <t>lbs_Error</t>
        </is>
      </c>
    </row>
    <row r="2">
      <c r="A2" t="n">
        <v>1015210</v>
      </c>
      <c r="B2" t="n">
        <v>1</v>
      </c>
      <c r="C2" s="7" t="n"/>
      <c r="D2">
        <f>B2-C2</f>
        <v/>
      </c>
      <c r="E2" t="n">
        <v>44</v>
      </c>
      <c r="F2" s="7" t="n"/>
      <c r="G2">
        <f>E2-F2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2025-12-12T20:19:32Z</dcterms:created>
  <dcterms:modified xsi:type="dcterms:W3CDTF">2026-01-03T06:21:01Z</dcterms:modified>
  <cp:lastModifiedBy>Braedon McRae</cp:lastModifiedBy>
</cp:coreProperties>
</file>