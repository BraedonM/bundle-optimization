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cRae\source\bundle-optimization-new\other\"/>
    </mc:Choice>
  </mc:AlternateContent>
  <xr:revisionPtr revIDLastSave="0" documentId="13_ncr:1_{BF2F1ECF-9F05-4777-8737-9EADBF327970}" xr6:coauthVersionLast="47" xr6:coauthVersionMax="47" xr10:uidLastSave="{00000000-0000-0000-0000-000000000000}"/>
  <bookViews>
    <workbookView xWindow="-28920" yWindow="-45" windowWidth="29040" windowHeight="15720" xr2:uid="{00000000-000D-0000-FFFF-FFFF00000000}"/>
  </bookViews>
  <sheets>
    <sheet name="Package_Material" sheetId="5" r:id="rId1"/>
    <sheet name="Sub_Bundle_Dims" sheetId="4" r:id="rId2"/>
    <sheet name="SO_Input" sheetId="1" r:id="rId3"/>
    <sheet name="Optimized_Bundles" sheetId="2" r:id="rId4"/>
  </sheets>
  <definedNames>
    <definedName name="_xlnm._FilterDatabase" localSheetId="3" hidden="1">Optimized_Bundles!$A$1:$L$563</definedName>
    <definedName name="_xlnm._FilterDatabase" localSheetId="1" hidden="1">Sub_Bundle_Dims!$A$2:$F$265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5" l="1"/>
  <c r="K16" i="5"/>
  <c r="K2" i="5"/>
  <c r="K5" i="5"/>
  <c r="K6" i="5"/>
  <c r="K7" i="5"/>
  <c r="K8" i="5"/>
  <c r="K9" i="5"/>
  <c r="K10" i="5"/>
  <c r="K11" i="5"/>
  <c r="K12" i="5"/>
  <c r="K4" i="5"/>
  <c r="K3" i="5"/>
  <c r="H3" i="5"/>
  <c r="H4" i="5"/>
  <c r="H5" i="5"/>
  <c r="H6" i="5"/>
  <c r="H7" i="5"/>
  <c r="H8" i="5"/>
  <c r="H9" i="5"/>
  <c r="H10" i="5"/>
  <c r="H11" i="5"/>
  <c r="H12" i="5"/>
  <c r="H2" i="5"/>
  <c r="F160" i="4"/>
  <c r="F157" i="4"/>
  <c r="F154" i="4"/>
  <c r="F152" i="4"/>
  <c r="F151" i="4"/>
  <c r="F148" i="4"/>
  <c r="F145" i="4"/>
  <c r="F142" i="4"/>
  <c r="F137" i="4"/>
  <c r="F135" i="4"/>
  <c r="F131" i="4"/>
  <c r="F127" i="4"/>
  <c r="F125" i="4"/>
  <c r="F122" i="4"/>
  <c r="F119" i="4"/>
  <c r="F116" i="4"/>
  <c r="F113" i="4"/>
  <c r="F112" i="4"/>
  <c r="F109" i="4"/>
  <c r="F106" i="4"/>
  <c r="F101" i="4"/>
  <c r="F98" i="4"/>
  <c r="F93" i="4"/>
  <c r="F91" i="4"/>
  <c r="F89" i="4"/>
  <c r="F85" i="4"/>
  <c r="F83" i="4"/>
  <c r="F80" i="4"/>
  <c r="F78" i="4"/>
  <c r="F76" i="4"/>
  <c r="F58" i="4"/>
  <c r="F54" i="4"/>
  <c r="F52" i="4"/>
  <c r="F49" i="4"/>
  <c r="F46" i="4"/>
  <c r="F42" i="4"/>
  <c r="F39" i="4"/>
  <c r="F36" i="4"/>
  <c r="F33" i="4"/>
  <c r="F31" i="4"/>
  <c r="F28" i="4"/>
  <c r="F23" i="4"/>
  <c r="F21" i="4"/>
  <c r="F19" i="4"/>
  <c r="F17" i="4"/>
  <c r="F14" i="4"/>
  <c r="F11" i="4"/>
  <c r="F9" i="4"/>
  <c r="F5" i="4"/>
  <c r="F3" i="4"/>
  <c r="F163" i="4"/>
  <c r="I12" i="5"/>
  <c r="D12" i="5"/>
  <c r="C12" i="5"/>
  <c r="I11" i="5"/>
  <c r="D11" i="5"/>
  <c r="C11" i="5"/>
  <c r="I10" i="5"/>
  <c r="D10" i="5"/>
  <c r="C10" i="5"/>
  <c r="I9" i="5"/>
  <c r="D9" i="5"/>
  <c r="C9" i="5"/>
  <c r="I8" i="5"/>
  <c r="D8" i="5"/>
  <c r="C8" i="5"/>
  <c r="I7" i="5"/>
  <c r="D7" i="5"/>
  <c r="C7" i="5"/>
  <c r="F6" i="5"/>
  <c r="I6" i="5" s="1"/>
  <c r="D6" i="5"/>
  <c r="C6" i="5"/>
  <c r="F5" i="5"/>
  <c r="I5" i="5" s="1"/>
  <c r="D5" i="5"/>
  <c r="C5" i="5"/>
  <c r="I4" i="5"/>
  <c r="I3" i="5"/>
  <c r="I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Gerald Dyck</author>
  </authors>
  <commentList>
    <comment ref="A1" authorId="0" shapeId="0" xr:uid="{289076E0-6910-4AAD-B468-F35122D6BF2D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This the Order ID or SO Id</t>
        </r>
      </text>
    </comment>
    <comment ref="B1" authorId="0" shapeId="0" xr:uid="{99F1FF00-D7C4-4140-BA29-179400F91F96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Bundles are built from each Order ID starting at 1 and adding 1 for every new bundle. Each bundle is created to have the most SKU's possible with dimensional limits of 590mm wide x 590 mm high.  Each bundle to start with a a single SKU and building into the bundle as many similiar SKUs as possible. IF the bundle will not fit more of the same SKU, then try fitting in a different SKU to maximuze the 590mm width x 590 mm height.  IF required, add filler SKU which is listed in PAckage material as Pack_44Filler or Pack_62Filler to make the bundle rectangular or square if required.</t>
        </r>
      </text>
    </comment>
    <comment ref="C1" authorId="0" shapeId="0" xr:uid="{759C3569-53DD-4A21-9F33-1F1F6AFCAD4C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List the SKU's that are in the Bundle.  If multiple SKU's are in the bundle, then add as many rows as SKU's within the bundle. </t>
        </r>
      </text>
    </comment>
    <comment ref="D1" authorId="0" shapeId="0" xr:uid="{56E733EB-A40F-4753-8B03-5700E7686FE5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the Qty of specific SKU's in the specifuic bundle</t>
        </r>
      </text>
    </comment>
    <comment ref="E1" authorId="0" shapeId="0" xr:uid="{6A086A52-2974-4D5F-A4CC-303CA32D2541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given Description from SO-Input tab</t>
        </r>
      </text>
    </comment>
    <comment ref="F1" authorId="0" shapeId="0" xr:uid="{A9107BC4-3F85-4148-8886-80C39F2B3530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Dim for reference</t>
        </r>
      </text>
    </comment>
    <comment ref="G1" authorId="0" shapeId="0" xr:uid="{1F12BE5B-5C7F-4CC2-90FA-1A40FAD5558D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Dim for reference</t>
        </r>
      </text>
    </comment>
    <comment ref="H1" authorId="0" shapeId="0" xr:uid="{37F5882B-772E-4F68-9795-4662F62645D8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weight as reference</t>
        </r>
      </text>
    </comment>
    <comment ref="I1" authorId="0" shapeId="0" xr:uid="{D3079424-F231-4655-B86B-0F6DF33707ED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optimized bundle width in mm</t>
        </r>
      </text>
    </comment>
    <comment ref="J1" authorId="0" shapeId="0" xr:uid="{635C5DD8-94F4-40FA-8541-03BC52C56B49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optimized bundle height in mm</t>
        </r>
      </text>
    </comment>
    <comment ref="K1" authorId="0" shapeId="0" xr:uid="{7BBBFFB4-11AE-4E81-AB47-A8A6B2AFEB42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optimized weight in kg.  Ensue that it includes all the packaging material listed in Package Material Tab.</t>
        </r>
      </text>
    </comment>
  </commentList>
</comments>
</file>

<file path=xl/sharedStrings.xml><?xml version="1.0" encoding="utf-8"?>
<sst xmlns="http://schemas.openxmlformats.org/spreadsheetml/2006/main" count="367" uniqueCount="339">
  <si>
    <t>Order ID</t>
  </si>
  <si>
    <t>SKU</t>
  </si>
  <si>
    <t>SO-12345</t>
  </si>
  <si>
    <t>6V.145</t>
  </si>
  <si>
    <t>This is a 6V.145 Description</t>
  </si>
  <si>
    <t>SO-12346</t>
  </si>
  <si>
    <t>6TB.145</t>
  </si>
  <si>
    <t>This is a 6TB.145 Description</t>
  </si>
  <si>
    <t>SKU Weight (kg)</t>
  </si>
  <si>
    <t>SKU Length (mm)</t>
  </si>
  <si>
    <t>SKU Height (mm)</t>
  </si>
  <si>
    <t>SKU Width (mm)</t>
  </si>
  <si>
    <t>SKU Qty</t>
  </si>
  <si>
    <t>Bundle No.</t>
  </si>
  <si>
    <t>SKU Description</t>
  </si>
  <si>
    <t>S0-12999</t>
  </si>
  <si>
    <t xml:space="preserve">4VR.145              </t>
  </si>
  <si>
    <t>4" V-Groove - Rib</t>
  </si>
  <si>
    <t>1X5B.145</t>
  </si>
  <si>
    <t>1"x 5" Beam</t>
  </si>
  <si>
    <t>1X3B.289</t>
  </si>
  <si>
    <t>1"x 3" Beam</t>
  </si>
  <si>
    <t>3V / 3VP.289</t>
  </si>
  <si>
    <t>2-1/2" V-Groove</t>
  </si>
  <si>
    <t xml:space="preserve">2X6LL.289           </t>
  </si>
  <si>
    <t>1-5/8" x 6" Link &amp; Lock</t>
  </si>
  <si>
    <t xml:space="preserve">2X4LL.145     </t>
  </si>
  <si>
    <t>1-5/8" x 4" Link &amp; Lock</t>
  </si>
  <si>
    <t>1TJT.289</t>
  </si>
  <si>
    <t>1" Base - 1X1JT / 1X2JT - Component 2</t>
  </si>
  <si>
    <t xml:space="preserve">2TJT.289     </t>
  </si>
  <si>
    <t>1-3/8" Cap - 1X2JT / 2TS - Component 1</t>
  </si>
  <si>
    <t>2UC.145</t>
  </si>
  <si>
    <t>1-1/2" U-Cap</t>
  </si>
  <si>
    <t>6DECK.145</t>
  </si>
  <si>
    <t>1-1/2" x 6" Decking</t>
  </si>
  <si>
    <t>Qty</t>
  </si>
  <si>
    <t>Bundle Total Width</t>
  </si>
  <si>
    <t>Bundle Total Height</t>
  </si>
  <si>
    <t>Bundle Total Weight</t>
  </si>
  <si>
    <t>Note</t>
  </si>
  <si>
    <t>Sub-Bundle Values</t>
  </si>
  <si>
    <t>Width (mm)</t>
  </si>
  <si>
    <t>Height (mm)</t>
  </si>
  <si>
    <t>Length (mm)</t>
  </si>
  <si>
    <t>05OC.145</t>
  </si>
  <si>
    <t>05OC.72</t>
  </si>
  <si>
    <t>1BA.145</t>
  </si>
  <si>
    <t>1BEC.3</t>
  </si>
  <si>
    <t>1BEC.5</t>
  </si>
  <si>
    <t>1ESLV.2</t>
  </si>
  <si>
    <t>1FR.145</t>
  </si>
  <si>
    <t>1FR.72</t>
  </si>
  <si>
    <t>1IC.145</t>
  </si>
  <si>
    <t>1IC.289</t>
  </si>
  <si>
    <t>1IC.72</t>
  </si>
  <si>
    <t>1JT.145</t>
  </si>
  <si>
    <t>1JT.289</t>
  </si>
  <si>
    <t>1JT.72</t>
  </si>
  <si>
    <t>1JTC.145</t>
  </si>
  <si>
    <t>1JTC.72</t>
  </si>
  <si>
    <t>1NTJT.145</t>
  </si>
  <si>
    <t>1NTJT.72</t>
  </si>
  <si>
    <t>1OC.145</t>
  </si>
  <si>
    <t>1OC.72</t>
  </si>
  <si>
    <t>1SJT.145</t>
  </si>
  <si>
    <t>1SJT.72</t>
  </si>
  <si>
    <t>1TGFR.289</t>
  </si>
  <si>
    <t>1TGUR.289</t>
  </si>
  <si>
    <t>1TGURS.2</t>
  </si>
  <si>
    <t>1TJT.145</t>
  </si>
  <si>
    <t>1TJT.72</t>
  </si>
  <si>
    <t>1UR.145</t>
  </si>
  <si>
    <t>1X2FB.1</t>
  </si>
  <si>
    <t>1X2FB.145</t>
  </si>
  <si>
    <t>1X2FB.3</t>
  </si>
  <si>
    <t>1X2FB.72</t>
  </si>
  <si>
    <t>1X3B.145</t>
  </si>
  <si>
    <t>1X3B.72</t>
  </si>
  <si>
    <t>1X5B.289</t>
  </si>
  <si>
    <t>1X5B.72</t>
  </si>
  <si>
    <t>2BA.145</t>
  </si>
  <si>
    <t>2BA.72</t>
  </si>
  <si>
    <t>2BEC.4</t>
  </si>
  <si>
    <t>2BEC.6</t>
  </si>
  <si>
    <t>2BTBSS.145</t>
  </si>
  <si>
    <t>2BTBSS.72</t>
  </si>
  <si>
    <t>2CBSR.289</t>
  </si>
  <si>
    <t>2CJ.145</t>
  </si>
  <si>
    <t>2CJ.289</t>
  </si>
  <si>
    <t>2CJ.72</t>
  </si>
  <si>
    <t>2COR1.145</t>
  </si>
  <si>
    <t>2COR1.72</t>
  </si>
  <si>
    <t>2COR2.145</t>
  </si>
  <si>
    <t>2COR2.289</t>
  </si>
  <si>
    <t>2COR2.72</t>
  </si>
  <si>
    <t>2ESLV.2</t>
  </si>
  <si>
    <t>2FR.145</t>
  </si>
  <si>
    <t>2FR.72</t>
  </si>
  <si>
    <t>2LLEC.2</t>
  </si>
  <si>
    <t>2LLEC.3</t>
  </si>
  <si>
    <t>2LLEC.4</t>
  </si>
  <si>
    <t>2LLEC.6</t>
  </si>
  <si>
    <t>2LLEC.8</t>
  </si>
  <si>
    <t>2LLEM.2</t>
  </si>
  <si>
    <t>2LLEM.4</t>
  </si>
  <si>
    <t>2LLEM.6</t>
  </si>
  <si>
    <t>2LLEM.8</t>
  </si>
  <si>
    <t>2LLHDEC.4</t>
  </si>
  <si>
    <t>2LLHDEC.6</t>
  </si>
  <si>
    <t>2LLHDEC.8</t>
  </si>
  <si>
    <t>2LLHDEM.289</t>
  </si>
  <si>
    <t>2LLHDEM.4</t>
  </si>
  <si>
    <t>2LLHDEM.6</t>
  </si>
  <si>
    <t>2LLHDEM.8</t>
  </si>
  <si>
    <t>2OFFC.145</t>
  </si>
  <si>
    <t>2OFFC.72</t>
  </si>
  <si>
    <t>2OFFCT1.145</t>
  </si>
  <si>
    <t>2OFFCT1.72</t>
  </si>
  <si>
    <t>2SS.145</t>
  </si>
  <si>
    <t>2SS.289</t>
  </si>
  <si>
    <t>2SS.72</t>
  </si>
  <si>
    <t>2TB.145</t>
  </si>
  <si>
    <t>2TB.72</t>
  </si>
  <si>
    <t>2TG.145</t>
  </si>
  <si>
    <t>2TGUR.289</t>
  </si>
  <si>
    <t>2TGUR.72</t>
  </si>
  <si>
    <t>2TGURS.2</t>
  </si>
  <si>
    <t>2TJT.145</t>
  </si>
  <si>
    <t>2TJT.72</t>
  </si>
  <si>
    <t>2UR.145</t>
  </si>
  <si>
    <t>2UR.72</t>
  </si>
  <si>
    <t>2X2LL.145</t>
  </si>
  <si>
    <t>2X2LL.289</t>
  </si>
  <si>
    <t>2X2LL.72</t>
  </si>
  <si>
    <t>2X2PC.2</t>
  </si>
  <si>
    <t>2X2SB.N100</t>
  </si>
  <si>
    <t>2X2SP.145</t>
  </si>
  <si>
    <t>2X2SP.289</t>
  </si>
  <si>
    <t>2X2SP.72</t>
  </si>
  <si>
    <t>2X3DP.145</t>
  </si>
  <si>
    <t>2X3DP.289</t>
  </si>
  <si>
    <t>2X3LL.289</t>
  </si>
  <si>
    <t>2X3PC.3</t>
  </si>
  <si>
    <t>2X4CB.289</t>
  </si>
  <si>
    <t>2X4LL.145</t>
  </si>
  <si>
    <t>2X4LL.289</t>
  </si>
  <si>
    <t>2X4LL.72</t>
  </si>
  <si>
    <t>2X4LLHD.145</t>
  </si>
  <si>
    <t>2X4LLHD.289</t>
  </si>
  <si>
    <t>2X4LLHD.72</t>
  </si>
  <si>
    <t>2X4LLP.145</t>
  </si>
  <si>
    <t>2X6CB.145</t>
  </si>
  <si>
    <t>2X6CB.289</t>
  </si>
  <si>
    <t>2X6CB.72</t>
  </si>
  <si>
    <t>2X6LL.145</t>
  </si>
  <si>
    <t>2X6LL.289</t>
  </si>
  <si>
    <t>2X6LL.72</t>
  </si>
  <si>
    <t>2X6LLHD.145</t>
  </si>
  <si>
    <t>2X6LLHD.289</t>
  </si>
  <si>
    <t>2X6LLHD.72</t>
  </si>
  <si>
    <t>2X8LL.145</t>
  </si>
  <si>
    <t>2X8LL.289</t>
  </si>
  <si>
    <t>2X8LL.72</t>
  </si>
  <si>
    <t>2X8LLHD.145</t>
  </si>
  <si>
    <t>2X8LLHD.289</t>
  </si>
  <si>
    <t>2X8LLP.145</t>
  </si>
  <si>
    <t>3PSMB.1</t>
  </si>
  <si>
    <t>3SCP.289</t>
  </si>
  <si>
    <t>3SCP.72</t>
  </si>
  <si>
    <t>3V.145</t>
  </si>
  <si>
    <t>3V.72</t>
  </si>
  <si>
    <t>3VCP.289</t>
  </si>
  <si>
    <t>3VCP.72</t>
  </si>
  <si>
    <t>3VP.145</t>
  </si>
  <si>
    <t>3VP.72</t>
  </si>
  <si>
    <t>4CA.145</t>
  </si>
  <si>
    <t>4CA.289</t>
  </si>
  <si>
    <t>4CA.72</t>
  </si>
  <si>
    <t>4LLEC.4</t>
  </si>
  <si>
    <t>4LLEC.6</t>
  </si>
  <si>
    <t>4V.145</t>
  </si>
  <si>
    <t>4V.289</t>
  </si>
  <si>
    <t>4V.72</t>
  </si>
  <si>
    <t>4X4LL.145</t>
  </si>
  <si>
    <t>4X4LL.289</t>
  </si>
  <si>
    <t>4X4LL.72</t>
  </si>
  <si>
    <t>4X6LL.145</t>
  </si>
  <si>
    <t>4X6LL.289</t>
  </si>
  <si>
    <t>4X6LL.72</t>
  </si>
  <si>
    <t>6BTBS.145</t>
  </si>
  <si>
    <t>6CH.145</t>
  </si>
  <si>
    <t>6CH.289</t>
  </si>
  <si>
    <t>6CHR.145</t>
  </si>
  <si>
    <t>6CHR.289</t>
  </si>
  <si>
    <t>6CHR.72</t>
  </si>
  <si>
    <t>6L.145</t>
  </si>
  <si>
    <t>6L.72</t>
  </si>
  <si>
    <t>6LC.3</t>
  </si>
  <si>
    <t>6PSP.145</t>
  </si>
  <si>
    <t>6PSP.289</t>
  </si>
  <si>
    <t>6PSP.72</t>
  </si>
  <si>
    <t>6PSPP.145</t>
  </si>
  <si>
    <t>6PSPP.289</t>
  </si>
  <si>
    <t>6PSPPA.145</t>
  </si>
  <si>
    <t>6PSPPA.289</t>
  </si>
  <si>
    <t>6PSPPA.72</t>
  </si>
  <si>
    <t>6SB.145</t>
  </si>
  <si>
    <t>6SB.289</t>
  </si>
  <si>
    <t>6SB.72</t>
  </si>
  <si>
    <t>6V.241</t>
  </si>
  <si>
    <t>6V.289</t>
  </si>
  <si>
    <t>6V.72</t>
  </si>
  <si>
    <t>6VP.145</t>
  </si>
  <si>
    <t>6VP.253</t>
  </si>
  <si>
    <t>6VP.289</t>
  </si>
  <si>
    <t>6VP.72</t>
  </si>
  <si>
    <t>6VPA.145</t>
  </si>
  <si>
    <t>6VPA.289</t>
  </si>
  <si>
    <t>6VR.145</t>
  </si>
  <si>
    <t>6VR.193</t>
  </si>
  <si>
    <t>6VR.253</t>
  </si>
  <si>
    <t>6VR.289</t>
  </si>
  <si>
    <t>6VR.72</t>
  </si>
  <si>
    <t>7BB.145</t>
  </si>
  <si>
    <t>7PW.145</t>
  </si>
  <si>
    <t>7PW.289</t>
  </si>
  <si>
    <t>8CA.145</t>
  </si>
  <si>
    <t>8CA.289</t>
  </si>
  <si>
    <t>8CA.72</t>
  </si>
  <si>
    <t>8V.145</t>
  </si>
  <si>
    <t>BSCT.5</t>
  </si>
  <si>
    <t>BSCT.6</t>
  </si>
  <si>
    <t>CBEB</t>
  </si>
  <si>
    <t>CBEB.N20</t>
  </si>
  <si>
    <t>CBHB.10</t>
  </si>
  <si>
    <t>CBHB.12</t>
  </si>
  <si>
    <t>CBHB.2</t>
  </si>
  <si>
    <t>CBHB.4</t>
  </si>
  <si>
    <t>CBHB.6</t>
  </si>
  <si>
    <t>CBHB.8</t>
  </si>
  <si>
    <t>CBR.289</t>
  </si>
  <si>
    <t>CBR.72</t>
  </si>
  <si>
    <t>CLIP.N1</t>
  </si>
  <si>
    <t>CLIP.N100</t>
  </si>
  <si>
    <t>CLIP.N1500</t>
  </si>
  <si>
    <t>CLIP.N1750</t>
  </si>
  <si>
    <t>DRILLBT</t>
  </si>
  <si>
    <t>EC2X4PB.289</t>
  </si>
  <si>
    <t>HC.3</t>
  </si>
  <si>
    <t>HCS.2</t>
  </si>
  <si>
    <t>HITCH.75EDGGRT</t>
  </si>
  <si>
    <t>HITCH.75STDGRT</t>
  </si>
  <si>
    <t>HITCH.HD</t>
  </si>
  <si>
    <t>HITCH.PA</t>
  </si>
  <si>
    <t>HITCH.SCRW</t>
  </si>
  <si>
    <t>HITCH.SCRWSS10FH</t>
  </si>
  <si>
    <t>HITCH.SD</t>
  </si>
  <si>
    <t>HN2520.N20</t>
  </si>
  <si>
    <t>JT23.145</t>
  </si>
  <si>
    <t>JT23.289</t>
  </si>
  <si>
    <t>JT23.72</t>
  </si>
  <si>
    <t>JT23C.145</t>
  </si>
  <si>
    <t>JT23C.289</t>
  </si>
  <si>
    <t>JT23C.72</t>
  </si>
  <si>
    <t>JT23NT.145</t>
  </si>
  <si>
    <t>JT35.145</t>
  </si>
  <si>
    <t>JT35.72</t>
  </si>
  <si>
    <t>LBD26.289</t>
  </si>
  <si>
    <t>LLIW.N1</t>
  </si>
  <si>
    <t>LLIW.N48</t>
  </si>
  <si>
    <t>LLMBK.45RF</t>
  </si>
  <si>
    <t>LLMBK.45RS</t>
  </si>
  <si>
    <t>LLMBK.90F</t>
  </si>
  <si>
    <t>LLMBK.90S</t>
  </si>
  <si>
    <t>LLMC.N1</t>
  </si>
  <si>
    <t>LLMC.N48</t>
  </si>
  <si>
    <t>LLSTIFF.289</t>
  </si>
  <si>
    <t>LLSTIFF.72</t>
  </si>
  <si>
    <t>LLTAPE.1296</t>
  </si>
  <si>
    <t>PD107.289</t>
  </si>
  <si>
    <t>PD135.289</t>
  </si>
  <si>
    <t>PD137.145</t>
  </si>
  <si>
    <t>PD138.145</t>
  </si>
  <si>
    <t>PD139.145</t>
  </si>
  <si>
    <t>PD139.289</t>
  </si>
  <si>
    <t>PD143.145</t>
  </si>
  <si>
    <t>PD144.145</t>
  </si>
  <si>
    <t>PD153.289</t>
  </si>
  <si>
    <t>PD57.145</t>
  </si>
  <si>
    <t>PD90.289</t>
  </si>
  <si>
    <t>PD97.289</t>
  </si>
  <si>
    <t>PD98.289</t>
  </si>
  <si>
    <t>PD99.145</t>
  </si>
  <si>
    <t>PD99.289</t>
  </si>
  <si>
    <t>PECS.N100</t>
  </si>
  <si>
    <t>TGBJKIT</t>
  </si>
  <si>
    <t>TGURS</t>
  </si>
  <si>
    <t>TP1JTB.145</t>
  </si>
  <si>
    <t>TP4ALP.12X30</t>
  </si>
  <si>
    <t>TP4ALP.18X144</t>
  </si>
  <si>
    <t>TP4ALP.18X48</t>
  </si>
  <si>
    <t>TPFR.145</t>
  </si>
  <si>
    <t>Qty/Bundle</t>
  </si>
  <si>
    <t>Weight kg /length</t>
  </si>
  <si>
    <t>PID</t>
  </si>
  <si>
    <t>DESCRIPTION</t>
  </si>
  <si>
    <t>width (mm)</t>
  </si>
  <si>
    <t>height (mm)</t>
  </si>
  <si>
    <t>Pack_Angle</t>
  </si>
  <si>
    <t>PRINTED ANGLEBOARD</t>
  </si>
  <si>
    <t>Pack_44Filler</t>
  </si>
  <si>
    <t>4"x4" FILLER BOX</t>
  </si>
  <si>
    <t>Pack_62Filler</t>
  </si>
  <si>
    <t>6"x2" FILLER BOX</t>
  </si>
  <si>
    <t>Pack_1x4x19_Dun</t>
  </si>
  <si>
    <t>1" X 4" X 19" DUNNAGE</t>
  </si>
  <si>
    <t>2" X 3" X 19" DUNNAGE</t>
  </si>
  <si>
    <t>Pack_2x3x19_Dun</t>
  </si>
  <si>
    <t>COMMON LUMBER - 1" X 4" X 12'</t>
  </si>
  <si>
    <t>Pack_Pad_8</t>
  </si>
  <si>
    <t>PAD - 8-1/2" X 144" DW ECT #3 WHITE</t>
  </si>
  <si>
    <t>Pack_Pad_10</t>
  </si>
  <si>
    <t>PAD - 10" X 144" DW ECT #3 WHITE</t>
  </si>
  <si>
    <t>Pack_Pad_13</t>
  </si>
  <si>
    <t>PAD - 13" X 144" DW ECT #3 WHITE</t>
  </si>
  <si>
    <t>Pack_Pad_19</t>
  </si>
  <si>
    <t>PAD - 19" X 144" DW ECT #3 WHITE</t>
  </si>
  <si>
    <t>Pack_Sub_Bndl_Wrp</t>
  </si>
  <si>
    <t>Sub-Bundle Wrap - Crepe Paper/Stretch Film</t>
  </si>
  <si>
    <t>Pack_Mst_Bndl_Wrp</t>
  </si>
  <si>
    <t>Master Bundle - Stretch Wrap</t>
  </si>
  <si>
    <t>7340mm
Weight kg</t>
  </si>
  <si>
    <t xml:space="preserve">7340mm 
Qty </t>
  </si>
  <si>
    <t xml:space="preserve">3680mm 
Qty </t>
  </si>
  <si>
    <t>3680mm 
Weight kg</t>
  </si>
  <si>
    <t xml:space="preserve">3680mm 
Length (mm) </t>
  </si>
  <si>
    <t xml:space="preserve">7340mm Length (mm) </t>
  </si>
  <si>
    <t>Per Pcs Weight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</si>
</sst>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3" fillId="0" borderId="0" xfId="0" applyFont="1"/>
    <xf numFmtId="0" fontId="2" fillId="2" borderId="4" xfId="0" applyFont="1" applyFill="1" applyBorder="1"/>
    <xf numFmtId="0" fontId="0" fillId="0" borderId="5" xfId="0" applyBorder="1"/>
    <xf numFmtId="0" fontId="3" fillId="0" borderId="8" xfId="0" applyFont="1" applyBorder="1" applyAlignment="1">
      <alignment horizontal="center" vertical="center"/>
    </xf>
    <xf numFmtId="0" fontId="0" fillId="0" borderId="9" xfId="0" applyBorder="1"/>
    <xf numFmtId="0" fontId="0" fillId="3" borderId="9" xfId="0" applyFill="1" applyBorder="1"/>
    <xf numFmtId="0" fontId="0" fillId="4" borderId="9" xfId="0" applyFill="1" applyBorder="1"/>
    <xf numFmtId="0" fontId="3" fillId="3" borderId="9" xfId="0" applyFont="1" applyFill="1" applyBorder="1" applyAlignment="1">
      <alignment horizontal="center" vertical="top" wrapText="1"/>
    </xf>
    <xf numFmtId="165" fontId="0" fillId="4" borderId="9" xfId="0" applyNumberFormat="1" applyFill="1" applyBorder="1"/>
    <xf numFmtId="0" fontId="3" fillId="5" borderId="9" xfId="0" applyFont="1" applyFill="1" applyBorder="1" applyAlignment="1">
      <alignment horizontal="center" vertical="center" wrapText="1"/>
    </xf>
    <xf numFmtId="0" fontId="0" fillId="5" borderId="9" xfId="0" applyFill="1" applyBorder="1"/>
    <xf numFmtId="164" fontId="0" fillId="5" borderId="9" xfId="0" applyNumberFormat="1" applyFill="1" applyBorder="1"/>
    <xf numFmtId="0" fontId="3" fillId="4" borderId="9" xfId="0" applyFont="1" applyFill="1" applyBorder="1" applyAlignment="1">
      <alignment horizontal="center" vertical="center" wrapText="1"/>
    </xf>
    <xf numFmtId="165" fontId="0" fillId="5" borderId="9" xfId="0" applyNumberFormat="1" applyFill="1" applyBorder="1"/>
    <xf numFmtId="0" fontId="3" fillId="6" borderId="9" xfId="0" applyFont="1" applyFill="1" applyBorder="1" applyAlignment="1">
      <alignment horizontal="center" vertical="center" wrapText="1"/>
    </xf>
    <xf numFmtId="0" fontId="0" fillId="6" borderId="9" xfId="0" applyFill="1" applyBorder="1"/>
    <xf numFmtId="165" fontId="0" fillId="6" borderId="9" xfId="0" applyNumberFormat="1" applyFill="1" applyBorder="1"/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5" borderId="0" xfId="0" applyFill="1"/>
    <xf numFmtId="0" fontId="0" fillId="7" borderId="0" xfId="0" applyFill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putTable" displayName="InputTable" ref="A1:H15">
  <autoFilter ref="A1:H15" xr:uid="{00000000-0009-0000-0100-000001000000}"/>
  <tableColumns count="8">
    <tableColumn id="1" xr3:uid="{00000000-0010-0000-0000-000001000000}" name="Order ID"/>
    <tableColumn id="2" xr3:uid="{00000000-0010-0000-0000-000002000000}" name="SKU"/>
    <tableColumn id="3" xr3:uid="{00000000-0010-0000-0000-000003000000}" name="SKU Description"/>
    <tableColumn id="4" xr3:uid="{00000000-0010-0000-0000-000004000000}" name="SKU Qty"/>
    <tableColumn id="5" xr3:uid="{00000000-0010-0000-0000-000005000000}" name="SKU Width (mm)"/>
    <tableColumn id="6" xr3:uid="{00000000-0010-0000-0000-000006000000}" name="SKU Height (mm)"/>
    <tableColumn id="7" xr3:uid="{00000000-0010-0000-0000-000007000000}" name="SKU Length (mm)"/>
    <tableColumn id="8" xr3:uid="{00000000-0010-0000-0000-000008000000}" name="SKU Weight (kg)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09CC2-F3F3-4973-9425-8E6C8C837E9F}">
  <sheetPr codeName="Sheet3">
    <tabColor rgb="FFFF0000"/>
  </sheetPr>
  <dimension ref="A1:L16"/>
  <sheetViews>
    <sheetView tabSelected="1" workbookViewId="0">
      <selection activeCell="J23" sqref="J23"/>
    </sheetView>
  </sheetViews>
  <sheetFormatPr defaultRowHeight="15" x14ac:dyDescent="0.25"/>
  <cols>
    <col min="1" max="1" width="17.85546875" customWidth="1"/>
    <col min="2" max="2" width="36" bestFit="1" customWidth="1"/>
    <col min="3" max="3" width="11" customWidth="1"/>
    <col min="4" max="4" width="12.85546875" customWidth="1"/>
    <col min="5" max="5" width="10.5703125" customWidth="1"/>
    <col min="6" max="6" width="13.5703125" customWidth="1"/>
    <col min="7" max="7" width="12.85546875" bestFit="1" customWidth="1"/>
    <col min="8" max="8" width="12.42578125" customWidth="1"/>
    <col min="9" max="9" width="12.5703125" customWidth="1"/>
    <col min="10" max="10" width="12.85546875" bestFit="1" customWidth="1"/>
    <col min="11" max="11" width="11" bestFit="1" customWidth="1"/>
  </cols>
  <sheetData>
    <row r="1" spans="1:12" ht="45" x14ac:dyDescent="0.25">
      <c r="A1" s="11" t="s">
        <v>305</v>
      </c>
      <c r="B1" s="11" t="s">
        <v>306</v>
      </c>
      <c r="C1" s="13" t="s">
        <v>307</v>
      </c>
      <c r="D1" s="13" t="s">
        <v>308</v>
      </c>
      <c r="E1" s="13" t="s">
        <v>338</v>
      </c>
      <c r="F1" s="16" t="s">
        <v>336</v>
      </c>
      <c r="G1" s="16" t="s">
        <v>334</v>
      </c>
      <c r="H1" s="16" t="s">
        <v>335</v>
      </c>
      <c r="I1" s="18" t="s">
        <v>337</v>
      </c>
      <c r="J1" s="18" t="s">
        <v>333</v>
      </c>
      <c r="K1" s="18" t="s">
        <v>332</v>
      </c>
    </row>
    <row r="2" spans="1:12" x14ac:dyDescent="0.25">
      <c r="A2" s="9" t="s">
        <v>309</v>
      </c>
      <c r="B2" s="9" t="s">
        <v>310</v>
      </c>
      <c r="C2" s="14">
        <v>75</v>
      </c>
      <c r="D2" s="14">
        <v>75</v>
      </c>
      <c r="E2" s="17">
        <v>1.3605442176870748</v>
      </c>
      <c r="F2" s="10">
        <v>3660</v>
      </c>
      <c r="G2" s="10">
        <v>4</v>
      </c>
      <c r="H2" s="12">
        <f t="shared" ref="H2:H12" si="0">E2*G2</f>
        <v>5.4421768707482991</v>
      </c>
      <c r="I2" s="19">
        <f t="shared" ref="I2:I12" si="1">F2*2</f>
        <v>7320</v>
      </c>
      <c r="J2" s="19">
        <v>8</v>
      </c>
      <c r="K2" s="20">
        <f t="shared" ref="K2" si="2">J2*E2</f>
        <v>10.884353741496598</v>
      </c>
      <c r="L2" s="23"/>
    </row>
    <row r="3" spans="1:12" x14ac:dyDescent="0.25">
      <c r="A3" s="9" t="s">
        <v>311</v>
      </c>
      <c r="B3" s="9" t="s">
        <v>312</v>
      </c>
      <c r="C3" s="14">
        <v>100</v>
      </c>
      <c r="D3" s="14">
        <v>100</v>
      </c>
      <c r="E3" s="17">
        <v>1.8095238095238095</v>
      </c>
      <c r="F3" s="10">
        <v>3660</v>
      </c>
      <c r="G3" s="10">
        <v>1</v>
      </c>
      <c r="H3" s="12">
        <f t="shared" si="0"/>
        <v>1.8095238095238095</v>
      </c>
      <c r="I3" s="19">
        <f t="shared" si="1"/>
        <v>7320</v>
      </c>
      <c r="J3" s="19">
        <v>2</v>
      </c>
      <c r="K3" s="20">
        <f>J3*E3</f>
        <v>3.6190476190476191</v>
      </c>
    </row>
    <row r="4" spans="1:12" x14ac:dyDescent="0.25">
      <c r="A4" s="9" t="s">
        <v>313</v>
      </c>
      <c r="B4" s="9" t="s">
        <v>314</v>
      </c>
      <c r="C4" s="14">
        <v>150</v>
      </c>
      <c r="D4" s="14">
        <v>50</v>
      </c>
      <c r="E4" s="17">
        <v>2.2675736961451247</v>
      </c>
      <c r="F4" s="10">
        <v>3660</v>
      </c>
      <c r="G4" s="10">
        <v>1</v>
      </c>
      <c r="H4" s="12">
        <f t="shared" si="0"/>
        <v>2.2675736961451247</v>
      </c>
      <c r="I4" s="19">
        <f t="shared" si="1"/>
        <v>7320</v>
      </c>
      <c r="J4" s="19">
        <v>2</v>
      </c>
      <c r="K4" s="20">
        <f>J4*E4</f>
        <v>4.5351473922902494</v>
      </c>
    </row>
    <row r="5" spans="1:12" x14ac:dyDescent="0.25">
      <c r="A5" s="9" t="s">
        <v>315</v>
      </c>
      <c r="B5" s="9" t="s">
        <v>316</v>
      </c>
      <c r="C5" s="14">
        <f>1*25.4</f>
        <v>25.4</v>
      </c>
      <c r="D5" s="14">
        <f>4*25.4</f>
        <v>101.6</v>
      </c>
      <c r="E5" s="17">
        <v>0.49886621315192747</v>
      </c>
      <c r="F5" s="10">
        <f>19*25.4</f>
        <v>482.59999999999997</v>
      </c>
      <c r="G5" s="10">
        <v>2</v>
      </c>
      <c r="H5" s="12">
        <f t="shared" si="0"/>
        <v>0.99773242630385495</v>
      </c>
      <c r="I5" s="19">
        <f t="shared" si="1"/>
        <v>965.19999999999993</v>
      </c>
      <c r="J5" s="19">
        <v>4</v>
      </c>
      <c r="K5" s="20">
        <f t="shared" ref="K5:K12" si="3">J5*E5</f>
        <v>1.9954648526077099</v>
      </c>
      <c r="L5" s="23"/>
    </row>
    <row r="6" spans="1:12" x14ac:dyDescent="0.25">
      <c r="A6" s="9" t="s">
        <v>315</v>
      </c>
      <c r="B6" s="9" t="s">
        <v>317</v>
      </c>
      <c r="C6" s="14">
        <f>2*25.4</f>
        <v>50.8</v>
      </c>
      <c r="D6" s="14">
        <f>3*25.4</f>
        <v>76.199999999999989</v>
      </c>
      <c r="E6" s="17">
        <v>0.89795918367346939</v>
      </c>
      <c r="F6" s="10">
        <f>19*25.4</f>
        <v>482.59999999999997</v>
      </c>
      <c r="G6" s="10">
        <v>2</v>
      </c>
      <c r="H6" s="12">
        <f t="shared" si="0"/>
        <v>1.7959183673469388</v>
      </c>
      <c r="I6" s="19">
        <f t="shared" si="1"/>
        <v>965.19999999999993</v>
      </c>
      <c r="J6" s="19">
        <v>4</v>
      </c>
      <c r="K6" s="20">
        <f t="shared" si="3"/>
        <v>3.5918367346938775</v>
      </c>
      <c r="L6" s="23"/>
    </row>
    <row r="7" spans="1:12" x14ac:dyDescent="0.25">
      <c r="A7" s="9" t="s">
        <v>318</v>
      </c>
      <c r="B7" s="9" t="s">
        <v>319</v>
      </c>
      <c r="C7" s="14">
        <f>1*25.4</f>
        <v>25.4</v>
      </c>
      <c r="D7" s="14">
        <f>3*25.4</f>
        <v>76.199999999999989</v>
      </c>
      <c r="E7" s="17">
        <v>2.7210884353741496</v>
      </c>
      <c r="F7" s="10">
        <v>3660</v>
      </c>
      <c r="G7" s="10">
        <v>1</v>
      </c>
      <c r="H7" s="12">
        <f t="shared" si="0"/>
        <v>2.7210884353741496</v>
      </c>
      <c r="I7" s="19">
        <f t="shared" si="1"/>
        <v>7320</v>
      </c>
      <c r="J7" s="19">
        <v>2</v>
      </c>
      <c r="K7" s="20">
        <f t="shared" si="3"/>
        <v>5.4421768707482991</v>
      </c>
    </row>
    <row r="8" spans="1:12" x14ac:dyDescent="0.25">
      <c r="A8" s="9" t="s">
        <v>320</v>
      </c>
      <c r="B8" s="9" t="s">
        <v>321</v>
      </c>
      <c r="C8" s="14">
        <f>8.5*25.4</f>
        <v>215.89999999999998</v>
      </c>
      <c r="D8" s="15">
        <f>0.125*25.4</f>
        <v>3.1749999999999998</v>
      </c>
      <c r="E8" s="17">
        <v>0.44897959183673469</v>
      </c>
      <c r="F8" s="10">
        <v>3660</v>
      </c>
      <c r="G8" s="10">
        <v>2</v>
      </c>
      <c r="H8" s="12">
        <f t="shared" si="0"/>
        <v>0.89795918367346939</v>
      </c>
      <c r="I8" s="19">
        <f t="shared" si="1"/>
        <v>7320</v>
      </c>
      <c r="J8" s="19">
        <v>4</v>
      </c>
      <c r="K8" s="20">
        <f t="shared" si="3"/>
        <v>1.7959183673469388</v>
      </c>
      <c r="L8" s="24"/>
    </row>
    <row r="9" spans="1:12" x14ac:dyDescent="0.25">
      <c r="A9" s="9" t="s">
        <v>322</v>
      </c>
      <c r="B9" s="9" t="s">
        <v>323</v>
      </c>
      <c r="C9" s="14">
        <f>10*25.4</f>
        <v>254</v>
      </c>
      <c r="D9" s="15">
        <f t="shared" ref="D9:D12" si="4">0.125*25.4</f>
        <v>3.1749999999999998</v>
      </c>
      <c r="E9" s="17">
        <v>0.99773242630385495</v>
      </c>
      <c r="F9" s="10">
        <v>3660</v>
      </c>
      <c r="G9" s="10">
        <v>2</v>
      </c>
      <c r="H9" s="12">
        <f t="shared" si="0"/>
        <v>1.9954648526077099</v>
      </c>
      <c r="I9" s="19">
        <f t="shared" si="1"/>
        <v>7320</v>
      </c>
      <c r="J9" s="19">
        <v>4</v>
      </c>
      <c r="K9" s="20">
        <f t="shared" si="3"/>
        <v>3.9909297052154198</v>
      </c>
      <c r="L9" s="24"/>
    </row>
    <row r="10" spans="1:12" x14ac:dyDescent="0.25">
      <c r="A10" s="9" t="s">
        <v>324</v>
      </c>
      <c r="B10" s="9" t="s">
        <v>325</v>
      </c>
      <c r="C10" s="14">
        <f>13*25.4</f>
        <v>330.2</v>
      </c>
      <c r="D10" s="15">
        <f t="shared" si="4"/>
        <v>3.1749999999999998</v>
      </c>
      <c r="E10" s="17">
        <v>0.99773242630385495</v>
      </c>
      <c r="F10" s="10">
        <v>3660</v>
      </c>
      <c r="G10" s="10">
        <v>2</v>
      </c>
      <c r="H10" s="12">
        <f t="shared" si="0"/>
        <v>1.9954648526077099</v>
      </c>
      <c r="I10" s="19">
        <f t="shared" si="1"/>
        <v>7320</v>
      </c>
      <c r="J10" s="19">
        <v>4</v>
      </c>
      <c r="K10" s="20">
        <f t="shared" si="3"/>
        <v>3.9909297052154198</v>
      </c>
      <c r="L10" s="24"/>
    </row>
    <row r="11" spans="1:12" x14ac:dyDescent="0.25">
      <c r="A11" s="9" t="s">
        <v>326</v>
      </c>
      <c r="B11" s="9" t="s">
        <v>327</v>
      </c>
      <c r="C11" s="14">
        <f>19*25.4</f>
        <v>482.59999999999997</v>
      </c>
      <c r="D11" s="15">
        <f t="shared" si="4"/>
        <v>3.1749999999999998</v>
      </c>
      <c r="E11" s="17">
        <v>1.3605442176870748</v>
      </c>
      <c r="F11" s="10">
        <v>3660</v>
      </c>
      <c r="G11" s="10">
        <v>2</v>
      </c>
      <c r="H11" s="12">
        <f t="shared" si="0"/>
        <v>2.7210884353741496</v>
      </c>
      <c r="I11" s="19">
        <f t="shared" si="1"/>
        <v>7320</v>
      </c>
      <c r="J11" s="19">
        <v>4</v>
      </c>
      <c r="K11" s="20">
        <f t="shared" si="3"/>
        <v>5.4421768707482991</v>
      </c>
      <c r="L11" s="24"/>
    </row>
    <row r="12" spans="1:12" x14ac:dyDescent="0.25">
      <c r="A12" s="9" t="s">
        <v>328</v>
      </c>
      <c r="B12" s="9" t="s">
        <v>329</v>
      </c>
      <c r="C12" s="14">
        <f>19*25.4</f>
        <v>482.59999999999997</v>
      </c>
      <c r="D12" s="15">
        <f t="shared" si="4"/>
        <v>3.1749999999999998</v>
      </c>
      <c r="E12" s="17">
        <v>1.1337868480725624</v>
      </c>
      <c r="F12" s="10">
        <v>3660</v>
      </c>
      <c r="G12" s="10">
        <v>2</v>
      </c>
      <c r="H12" s="12">
        <f t="shared" si="0"/>
        <v>2.2675736961451247</v>
      </c>
      <c r="I12" s="19">
        <f t="shared" si="1"/>
        <v>7320</v>
      </c>
      <c r="J12" s="19">
        <v>4</v>
      </c>
      <c r="K12" s="20">
        <f t="shared" si="3"/>
        <v>4.5351473922902494</v>
      </c>
      <c r="L12" s="23"/>
    </row>
    <row r="13" spans="1:12" x14ac:dyDescent="0.25">
      <c r="A13" s="9" t="s">
        <v>330</v>
      </c>
      <c r="B13" s="9" t="s">
        <v>331</v>
      </c>
      <c r="C13" s="14"/>
      <c r="D13" s="14"/>
      <c r="E13" s="17">
        <v>0.68027210884353739</v>
      </c>
      <c r="F13" s="10"/>
      <c r="G13" s="10"/>
      <c r="H13" s="12">
        <v>0.5</v>
      </c>
      <c r="I13" s="19"/>
      <c r="J13" s="19"/>
      <c r="K13" s="19">
        <v>1</v>
      </c>
      <c r="L13" s="23"/>
    </row>
    <row r="16" spans="1:12" x14ac:dyDescent="0.25">
      <c r="H16" s="25">
        <f t="shared" ref="H16:J16" si="5">SUM(H13,H12,H6,H5,H2)</f>
        <v>11.003401360544217</v>
      </c>
      <c r="I16" s="25"/>
      <c r="J16" s="25"/>
      <c r="K16" s="25">
        <f>SUM(K13,K12,K6,K5,K2)</f>
        <v>22.006802721088434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7933A-4EC6-402E-8D66-151F2377FE3A}">
  <sheetPr codeName="Sheet4">
    <tabColor rgb="FFFF0000"/>
  </sheetPr>
  <dimension ref="A1:F26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" sqref="A2:F2"/>
    </sheetView>
  </sheetViews>
  <sheetFormatPr defaultRowHeight="15" x14ac:dyDescent="0.25"/>
  <cols>
    <col min="1" max="2" width="17.5703125" customWidth="1"/>
    <col min="3" max="3" width="21.85546875" bestFit="1" customWidth="1"/>
    <col min="4" max="4" width="13.5703125" customWidth="1"/>
    <col min="5" max="5" width="13.7109375" customWidth="1"/>
    <col min="6" max="6" width="16.85546875" bestFit="1" customWidth="1"/>
  </cols>
  <sheetData>
    <row r="1" spans="1:6" ht="15.75" thickBot="1" x14ac:dyDescent="0.3">
      <c r="A1" s="6"/>
      <c r="B1" s="21" t="s">
        <v>41</v>
      </c>
      <c r="C1" s="22"/>
      <c r="D1" s="22"/>
      <c r="E1" s="22"/>
      <c r="F1" s="22"/>
    </row>
    <row r="2" spans="1:6" x14ac:dyDescent="0.25">
      <c r="A2" s="7" t="s">
        <v>1</v>
      </c>
      <c r="B2" s="7" t="s">
        <v>303</v>
      </c>
      <c r="C2" s="7" t="s">
        <v>304</v>
      </c>
      <c r="D2" s="7" t="s">
        <v>42</v>
      </c>
      <c r="E2" s="7" t="s">
        <v>43</v>
      </c>
      <c r="F2" s="7" t="s">
        <v>44</v>
      </c>
    </row>
    <row r="3" spans="1:6" x14ac:dyDescent="0.25">
      <c r="A3" s="8" t="s">
        <v>45</v>
      </c>
      <c r="B3" s="8">
        <v>4</v>
      </c>
      <c r="C3" s="8">
        <v>8</v>
      </c>
      <c r="D3" s="8">
        <v>100</v>
      </c>
      <c r="E3" s="8">
        <v>10</v>
      </c>
      <c r="F3" s="8">
        <f>145*25.4</f>
        <v>3683</v>
      </c>
    </row>
    <row r="4" spans="1:6" x14ac:dyDescent="0.25">
      <c r="A4" s="8" t="s">
        <v>46</v>
      </c>
      <c r="B4" s="8">
        <v>5</v>
      </c>
      <c r="C4" s="8">
        <v>10</v>
      </c>
      <c r="D4" s="8">
        <v>110</v>
      </c>
      <c r="E4" s="8">
        <v>12</v>
      </c>
      <c r="F4" s="8">
        <v>1830</v>
      </c>
    </row>
    <row r="5" spans="1:6" x14ac:dyDescent="0.25">
      <c r="A5" s="8" t="s">
        <v>47</v>
      </c>
      <c r="B5" s="8">
        <v>6</v>
      </c>
      <c r="C5" s="8">
        <v>12</v>
      </c>
      <c r="D5" s="8">
        <v>120</v>
      </c>
      <c r="E5" s="8">
        <v>14</v>
      </c>
      <c r="F5" s="8">
        <f>145*25.4</f>
        <v>3683</v>
      </c>
    </row>
    <row r="6" spans="1:6" x14ac:dyDescent="0.25">
      <c r="A6" s="8" t="s">
        <v>48</v>
      </c>
      <c r="B6" s="8">
        <v>7</v>
      </c>
      <c r="C6" s="8">
        <v>14</v>
      </c>
      <c r="D6" s="8">
        <v>130</v>
      </c>
      <c r="E6" s="8">
        <v>16</v>
      </c>
      <c r="F6" s="8">
        <v>75</v>
      </c>
    </row>
    <row r="7" spans="1:6" x14ac:dyDescent="0.25">
      <c r="A7" s="8" t="s">
        <v>49</v>
      </c>
      <c r="B7" s="8">
        <v>8</v>
      </c>
      <c r="C7" s="8">
        <v>16</v>
      </c>
      <c r="D7" s="8">
        <v>140</v>
      </c>
      <c r="E7" s="8">
        <v>18</v>
      </c>
      <c r="F7" s="8">
        <v>125</v>
      </c>
    </row>
    <row r="8" spans="1:6" x14ac:dyDescent="0.25">
      <c r="A8" s="8" t="s">
        <v>50</v>
      </c>
      <c r="B8" s="8">
        <v>4</v>
      </c>
      <c r="C8" s="8">
        <v>8</v>
      </c>
      <c r="D8" s="8">
        <v>100</v>
      </c>
      <c r="E8" s="8">
        <v>10</v>
      </c>
      <c r="F8" s="8">
        <v>50</v>
      </c>
    </row>
    <row r="9" spans="1:6" x14ac:dyDescent="0.25">
      <c r="A9" s="8" t="s">
        <v>51</v>
      </c>
      <c r="B9" s="8">
        <v>5</v>
      </c>
      <c r="C9" s="8">
        <v>10</v>
      </c>
      <c r="D9" s="8">
        <v>110</v>
      </c>
      <c r="E9" s="8">
        <v>12</v>
      </c>
      <c r="F9" s="8">
        <f>145*25.4</f>
        <v>3683</v>
      </c>
    </row>
    <row r="10" spans="1:6" x14ac:dyDescent="0.25">
      <c r="A10" s="8" t="s">
        <v>52</v>
      </c>
      <c r="B10" s="8">
        <v>6</v>
      </c>
      <c r="C10" s="8">
        <v>12</v>
      </c>
      <c r="D10" s="8">
        <v>120</v>
      </c>
      <c r="E10" s="8">
        <v>14</v>
      </c>
      <c r="F10" s="8">
        <v>1830</v>
      </c>
    </row>
    <row r="11" spans="1:6" x14ac:dyDescent="0.25">
      <c r="A11" s="8" t="s">
        <v>53</v>
      </c>
      <c r="B11" s="8">
        <v>7</v>
      </c>
      <c r="C11" s="8">
        <v>14</v>
      </c>
      <c r="D11" s="8">
        <v>130</v>
      </c>
      <c r="E11" s="8">
        <v>16</v>
      </c>
      <c r="F11" s="8">
        <f>145*25.4</f>
        <v>3683</v>
      </c>
    </row>
    <row r="12" spans="1:6" x14ac:dyDescent="0.25">
      <c r="A12" s="8" t="s">
        <v>54</v>
      </c>
      <c r="B12" s="8">
        <v>8</v>
      </c>
      <c r="C12" s="8">
        <v>16</v>
      </c>
      <c r="D12" s="8">
        <v>140</v>
      </c>
      <c r="E12" s="8">
        <v>18</v>
      </c>
      <c r="F12" s="8">
        <v>7340</v>
      </c>
    </row>
    <row r="13" spans="1:6" x14ac:dyDescent="0.25">
      <c r="A13" s="8" t="s">
        <v>55</v>
      </c>
      <c r="B13" s="8">
        <v>4</v>
      </c>
      <c r="C13" s="8">
        <v>8</v>
      </c>
      <c r="D13" s="8">
        <v>100</v>
      </c>
      <c r="E13" s="8">
        <v>10</v>
      </c>
      <c r="F13" s="8">
        <v>1830</v>
      </c>
    </row>
    <row r="14" spans="1:6" x14ac:dyDescent="0.25">
      <c r="A14" s="8" t="s">
        <v>56</v>
      </c>
      <c r="B14" s="8">
        <v>5</v>
      </c>
      <c r="C14" s="8">
        <v>10</v>
      </c>
      <c r="D14" s="8">
        <v>110</v>
      </c>
      <c r="E14" s="8">
        <v>12</v>
      </c>
      <c r="F14" s="8">
        <f>145*25.4</f>
        <v>3683</v>
      </c>
    </row>
    <row r="15" spans="1:6" x14ac:dyDescent="0.25">
      <c r="A15" s="8" t="s">
        <v>57</v>
      </c>
      <c r="B15" s="8">
        <v>6</v>
      </c>
      <c r="C15" s="8">
        <v>12</v>
      </c>
      <c r="D15" s="8">
        <v>120</v>
      </c>
      <c r="E15" s="8">
        <v>14</v>
      </c>
      <c r="F15" s="8">
        <v>7340</v>
      </c>
    </row>
    <row r="16" spans="1:6" x14ac:dyDescent="0.25">
      <c r="A16" s="8" t="s">
        <v>58</v>
      </c>
      <c r="B16" s="8">
        <v>7</v>
      </c>
      <c r="C16" s="8">
        <v>14</v>
      </c>
      <c r="D16" s="8">
        <v>130</v>
      </c>
      <c r="E16" s="8">
        <v>16</v>
      </c>
      <c r="F16" s="8">
        <v>1830</v>
      </c>
    </row>
    <row r="17" spans="1:6" x14ac:dyDescent="0.25">
      <c r="A17" s="8" t="s">
        <v>59</v>
      </c>
      <c r="B17" s="8">
        <v>8</v>
      </c>
      <c r="C17" s="8">
        <v>16</v>
      </c>
      <c r="D17" s="8">
        <v>140</v>
      </c>
      <c r="E17" s="8">
        <v>18</v>
      </c>
      <c r="F17" s="8">
        <f>145*25.4</f>
        <v>3683</v>
      </c>
    </row>
    <row r="18" spans="1:6" x14ac:dyDescent="0.25">
      <c r="A18" s="8" t="s">
        <v>60</v>
      </c>
      <c r="B18" s="8">
        <v>4</v>
      </c>
      <c r="C18" s="8">
        <v>8</v>
      </c>
      <c r="D18" s="8">
        <v>100</v>
      </c>
      <c r="E18" s="8">
        <v>10</v>
      </c>
      <c r="F18" s="8">
        <v>1830</v>
      </c>
    </row>
    <row r="19" spans="1:6" x14ac:dyDescent="0.25">
      <c r="A19" s="8" t="s">
        <v>61</v>
      </c>
      <c r="B19" s="8">
        <v>5</v>
      </c>
      <c r="C19" s="8">
        <v>10</v>
      </c>
      <c r="D19" s="8">
        <v>110</v>
      </c>
      <c r="E19" s="8">
        <v>12</v>
      </c>
      <c r="F19" s="8">
        <f>145*25.4</f>
        <v>3683</v>
      </c>
    </row>
    <row r="20" spans="1:6" x14ac:dyDescent="0.25">
      <c r="A20" s="8" t="s">
        <v>62</v>
      </c>
      <c r="B20" s="8">
        <v>6</v>
      </c>
      <c r="C20" s="8">
        <v>12</v>
      </c>
      <c r="D20" s="8">
        <v>120</v>
      </c>
      <c r="E20" s="8">
        <v>14</v>
      </c>
      <c r="F20" s="8">
        <v>1830</v>
      </c>
    </row>
    <row r="21" spans="1:6" x14ac:dyDescent="0.25">
      <c r="A21" s="8" t="s">
        <v>63</v>
      </c>
      <c r="B21" s="8">
        <v>7</v>
      </c>
      <c r="C21" s="8">
        <v>14</v>
      </c>
      <c r="D21" s="8">
        <v>130</v>
      </c>
      <c r="E21" s="8">
        <v>16</v>
      </c>
      <c r="F21" s="8">
        <f>145*25.4</f>
        <v>3683</v>
      </c>
    </row>
    <row r="22" spans="1:6" x14ac:dyDescent="0.25">
      <c r="A22" s="8" t="s">
        <v>64</v>
      </c>
      <c r="B22" s="8">
        <v>8</v>
      </c>
      <c r="C22" s="8">
        <v>16</v>
      </c>
      <c r="D22" s="8">
        <v>140</v>
      </c>
      <c r="E22" s="8">
        <v>18</v>
      </c>
      <c r="F22" s="8">
        <v>1830</v>
      </c>
    </row>
    <row r="23" spans="1:6" x14ac:dyDescent="0.25">
      <c r="A23" s="8" t="s">
        <v>65</v>
      </c>
      <c r="B23" s="8">
        <v>4</v>
      </c>
      <c r="C23" s="8">
        <v>8</v>
      </c>
      <c r="D23" s="8">
        <v>100</v>
      </c>
      <c r="E23" s="8">
        <v>10</v>
      </c>
      <c r="F23" s="8">
        <f>145*25.4</f>
        <v>3683</v>
      </c>
    </row>
    <row r="24" spans="1:6" x14ac:dyDescent="0.25">
      <c r="A24" s="8" t="s">
        <v>66</v>
      </c>
      <c r="B24" s="8">
        <v>5</v>
      </c>
      <c r="C24" s="8">
        <v>10</v>
      </c>
      <c r="D24" s="8">
        <v>110</v>
      </c>
      <c r="E24" s="8">
        <v>12</v>
      </c>
      <c r="F24" s="8">
        <v>1830</v>
      </c>
    </row>
    <row r="25" spans="1:6" x14ac:dyDescent="0.25">
      <c r="A25" s="8" t="s">
        <v>67</v>
      </c>
      <c r="B25" s="8">
        <v>6</v>
      </c>
      <c r="C25" s="8">
        <v>12</v>
      </c>
      <c r="D25" s="8">
        <v>120</v>
      </c>
      <c r="E25" s="8">
        <v>14</v>
      </c>
      <c r="F25" s="8">
        <v>7340</v>
      </c>
    </row>
    <row r="26" spans="1:6" x14ac:dyDescent="0.25">
      <c r="A26" s="8" t="s">
        <v>68</v>
      </c>
      <c r="B26" s="8">
        <v>7</v>
      </c>
      <c r="C26" s="8">
        <v>14</v>
      </c>
      <c r="D26" s="8">
        <v>130</v>
      </c>
      <c r="E26" s="8">
        <v>16</v>
      </c>
      <c r="F26" s="8">
        <v>7340</v>
      </c>
    </row>
    <row r="27" spans="1:6" x14ac:dyDescent="0.25">
      <c r="A27" s="8" t="s">
        <v>69</v>
      </c>
      <c r="B27" s="8">
        <v>8</v>
      </c>
      <c r="C27" s="8">
        <v>16</v>
      </c>
      <c r="D27" s="8">
        <v>140</v>
      </c>
      <c r="E27" s="8">
        <v>18</v>
      </c>
      <c r="F27" s="8">
        <v>50</v>
      </c>
    </row>
    <row r="28" spans="1:6" x14ac:dyDescent="0.25">
      <c r="A28" s="8" t="s">
        <v>70</v>
      </c>
      <c r="B28" s="8">
        <v>4</v>
      </c>
      <c r="C28" s="8">
        <v>8</v>
      </c>
      <c r="D28" s="8">
        <v>100</v>
      </c>
      <c r="E28" s="8">
        <v>10</v>
      </c>
      <c r="F28" s="8">
        <f>145*25.4</f>
        <v>3683</v>
      </c>
    </row>
    <row r="29" spans="1:6" x14ac:dyDescent="0.25">
      <c r="A29" s="8" t="s">
        <v>28</v>
      </c>
      <c r="B29" s="8">
        <v>5</v>
      </c>
      <c r="C29" s="8">
        <v>10</v>
      </c>
      <c r="D29" s="8">
        <v>110</v>
      </c>
      <c r="E29" s="8">
        <v>12</v>
      </c>
      <c r="F29" s="8">
        <v>7340</v>
      </c>
    </row>
    <row r="30" spans="1:6" x14ac:dyDescent="0.25">
      <c r="A30" s="8" t="s">
        <v>71</v>
      </c>
      <c r="B30" s="8">
        <v>6</v>
      </c>
      <c r="C30" s="8">
        <v>12</v>
      </c>
      <c r="D30" s="8">
        <v>120</v>
      </c>
      <c r="E30" s="8">
        <v>14</v>
      </c>
      <c r="F30" s="8">
        <v>1830</v>
      </c>
    </row>
    <row r="31" spans="1:6" x14ac:dyDescent="0.25">
      <c r="A31" s="8" t="s">
        <v>72</v>
      </c>
      <c r="B31" s="8">
        <v>7</v>
      </c>
      <c r="C31" s="8">
        <v>14</v>
      </c>
      <c r="D31" s="8">
        <v>130</v>
      </c>
      <c r="E31" s="8">
        <v>16</v>
      </c>
      <c r="F31" s="8">
        <f>145*25.4</f>
        <v>3683</v>
      </c>
    </row>
    <row r="32" spans="1:6" x14ac:dyDescent="0.25">
      <c r="A32" s="8" t="s">
        <v>73</v>
      </c>
      <c r="B32" s="8">
        <v>8</v>
      </c>
      <c r="C32" s="8">
        <v>16</v>
      </c>
      <c r="D32" s="8">
        <v>140</v>
      </c>
      <c r="E32" s="8">
        <v>18</v>
      </c>
      <c r="F32" s="8">
        <v>25</v>
      </c>
    </row>
    <row r="33" spans="1:6" x14ac:dyDescent="0.25">
      <c r="A33" s="8" t="s">
        <v>74</v>
      </c>
      <c r="B33" s="8">
        <v>4</v>
      </c>
      <c r="C33" s="8">
        <v>8</v>
      </c>
      <c r="D33" s="8">
        <v>100</v>
      </c>
      <c r="E33" s="8">
        <v>10</v>
      </c>
      <c r="F33" s="8">
        <f>145*25.4</f>
        <v>3683</v>
      </c>
    </row>
    <row r="34" spans="1:6" x14ac:dyDescent="0.25">
      <c r="A34" s="8" t="s">
        <v>75</v>
      </c>
      <c r="B34" s="8">
        <v>5</v>
      </c>
      <c r="C34" s="8">
        <v>10</v>
      </c>
      <c r="D34" s="8">
        <v>110</v>
      </c>
      <c r="E34" s="8">
        <v>12</v>
      </c>
      <c r="F34" s="8">
        <v>75</v>
      </c>
    </row>
    <row r="35" spans="1:6" x14ac:dyDescent="0.25">
      <c r="A35" s="8" t="s">
        <v>76</v>
      </c>
      <c r="B35" s="8">
        <v>6</v>
      </c>
      <c r="C35" s="8">
        <v>12</v>
      </c>
      <c r="D35" s="8">
        <v>120</v>
      </c>
      <c r="E35" s="8">
        <v>14</v>
      </c>
      <c r="F35" s="8">
        <v>1830</v>
      </c>
    </row>
    <row r="36" spans="1:6" x14ac:dyDescent="0.25">
      <c r="A36" s="8" t="s">
        <v>77</v>
      </c>
      <c r="B36" s="8">
        <v>7</v>
      </c>
      <c r="C36" s="8">
        <v>14</v>
      </c>
      <c r="D36" s="8">
        <v>130</v>
      </c>
      <c r="E36" s="8">
        <v>16</v>
      </c>
      <c r="F36" s="8">
        <f>145*25.4</f>
        <v>3683</v>
      </c>
    </row>
    <row r="37" spans="1:6" x14ac:dyDescent="0.25">
      <c r="A37" s="8" t="s">
        <v>20</v>
      </c>
      <c r="B37" s="8">
        <v>8</v>
      </c>
      <c r="C37" s="8">
        <v>16</v>
      </c>
      <c r="D37" s="8">
        <v>140</v>
      </c>
      <c r="E37" s="8">
        <v>18</v>
      </c>
      <c r="F37" s="8">
        <v>7340</v>
      </c>
    </row>
    <row r="38" spans="1:6" x14ac:dyDescent="0.25">
      <c r="A38" s="8" t="s">
        <v>78</v>
      </c>
      <c r="B38" s="8">
        <v>4</v>
      </c>
      <c r="C38" s="8">
        <v>8</v>
      </c>
      <c r="D38" s="8">
        <v>100</v>
      </c>
      <c r="E38" s="8">
        <v>10</v>
      </c>
      <c r="F38" s="8">
        <v>1830</v>
      </c>
    </row>
    <row r="39" spans="1:6" x14ac:dyDescent="0.25">
      <c r="A39" s="8" t="s">
        <v>18</v>
      </c>
      <c r="B39" s="8">
        <v>5</v>
      </c>
      <c r="C39" s="8">
        <v>10</v>
      </c>
      <c r="D39" s="8">
        <v>110</v>
      </c>
      <c r="E39" s="8">
        <v>12</v>
      </c>
      <c r="F39" s="8">
        <f>145*25.4</f>
        <v>3683</v>
      </c>
    </row>
    <row r="40" spans="1:6" x14ac:dyDescent="0.25">
      <c r="A40" s="8" t="s">
        <v>79</v>
      </c>
      <c r="B40" s="8">
        <v>6</v>
      </c>
      <c r="C40" s="8">
        <v>12</v>
      </c>
      <c r="D40" s="8">
        <v>120</v>
      </c>
      <c r="E40" s="8">
        <v>14</v>
      </c>
      <c r="F40" s="8">
        <v>7340</v>
      </c>
    </row>
    <row r="41" spans="1:6" x14ac:dyDescent="0.25">
      <c r="A41" s="8" t="s">
        <v>80</v>
      </c>
      <c r="B41" s="8">
        <v>7</v>
      </c>
      <c r="C41" s="8">
        <v>14</v>
      </c>
      <c r="D41" s="8">
        <v>130</v>
      </c>
      <c r="E41" s="8">
        <v>16</v>
      </c>
      <c r="F41" s="8">
        <v>1830</v>
      </c>
    </row>
    <row r="42" spans="1:6" x14ac:dyDescent="0.25">
      <c r="A42" s="8" t="s">
        <v>81</v>
      </c>
      <c r="B42" s="8">
        <v>8</v>
      </c>
      <c r="C42" s="8">
        <v>16</v>
      </c>
      <c r="D42" s="8">
        <v>140</v>
      </c>
      <c r="E42" s="8">
        <v>18</v>
      </c>
      <c r="F42" s="8">
        <f>145*25.4</f>
        <v>3683</v>
      </c>
    </row>
    <row r="43" spans="1:6" x14ac:dyDescent="0.25">
      <c r="A43" s="8" t="s">
        <v>82</v>
      </c>
      <c r="B43" s="8">
        <v>4</v>
      </c>
      <c r="C43" s="8">
        <v>8</v>
      </c>
      <c r="D43" s="8">
        <v>100</v>
      </c>
      <c r="E43" s="8">
        <v>10</v>
      </c>
      <c r="F43" s="8">
        <v>1830</v>
      </c>
    </row>
    <row r="44" spans="1:6" x14ac:dyDescent="0.25">
      <c r="A44" s="8" t="s">
        <v>83</v>
      </c>
      <c r="B44" s="8">
        <v>5</v>
      </c>
      <c r="C44" s="8">
        <v>10</v>
      </c>
      <c r="D44" s="8">
        <v>110</v>
      </c>
      <c r="E44" s="8">
        <v>12</v>
      </c>
      <c r="F44" s="8">
        <v>100</v>
      </c>
    </row>
    <row r="45" spans="1:6" x14ac:dyDescent="0.25">
      <c r="A45" s="8" t="s">
        <v>84</v>
      </c>
      <c r="B45" s="8">
        <v>6</v>
      </c>
      <c r="C45" s="8">
        <v>12</v>
      </c>
      <c r="D45" s="8">
        <v>120</v>
      </c>
      <c r="E45" s="8">
        <v>14</v>
      </c>
      <c r="F45" s="8">
        <v>150</v>
      </c>
    </row>
    <row r="46" spans="1:6" x14ac:dyDescent="0.25">
      <c r="A46" s="8" t="s">
        <v>85</v>
      </c>
      <c r="B46" s="8">
        <v>7</v>
      </c>
      <c r="C46" s="8">
        <v>14</v>
      </c>
      <c r="D46" s="8">
        <v>130</v>
      </c>
      <c r="E46" s="8">
        <v>16</v>
      </c>
      <c r="F46" s="8">
        <f>145*25.4</f>
        <v>3683</v>
      </c>
    </row>
    <row r="47" spans="1:6" x14ac:dyDescent="0.25">
      <c r="A47" s="8" t="s">
        <v>86</v>
      </c>
      <c r="B47" s="8">
        <v>8</v>
      </c>
      <c r="C47" s="8">
        <v>16</v>
      </c>
      <c r="D47" s="8">
        <v>140</v>
      </c>
      <c r="E47" s="8">
        <v>18</v>
      </c>
      <c r="F47" s="8">
        <v>1830</v>
      </c>
    </row>
    <row r="48" spans="1:6" x14ac:dyDescent="0.25">
      <c r="A48" s="8" t="s">
        <v>87</v>
      </c>
      <c r="B48" s="8">
        <v>4</v>
      </c>
      <c r="C48" s="8">
        <v>8</v>
      </c>
      <c r="D48" s="8">
        <v>100</v>
      </c>
      <c r="E48" s="8">
        <v>10</v>
      </c>
      <c r="F48" s="8">
        <v>7340</v>
      </c>
    </row>
    <row r="49" spans="1:6" x14ac:dyDescent="0.25">
      <c r="A49" s="8" t="s">
        <v>88</v>
      </c>
      <c r="B49" s="8">
        <v>5</v>
      </c>
      <c r="C49" s="8">
        <v>10</v>
      </c>
      <c r="D49" s="8">
        <v>110</v>
      </c>
      <c r="E49" s="8">
        <v>12</v>
      </c>
      <c r="F49" s="8">
        <f>145*25.4</f>
        <v>3683</v>
      </c>
    </row>
    <row r="50" spans="1:6" x14ac:dyDescent="0.25">
      <c r="A50" s="8" t="s">
        <v>89</v>
      </c>
      <c r="B50" s="8">
        <v>6</v>
      </c>
      <c r="C50" s="8">
        <v>12</v>
      </c>
      <c r="D50" s="8">
        <v>120</v>
      </c>
      <c r="E50" s="8">
        <v>14</v>
      </c>
      <c r="F50" s="8">
        <v>7340</v>
      </c>
    </row>
    <row r="51" spans="1:6" x14ac:dyDescent="0.25">
      <c r="A51" s="8" t="s">
        <v>90</v>
      </c>
      <c r="B51" s="8">
        <v>7</v>
      </c>
      <c r="C51" s="8">
        <v>14</v>
      </c>
      <c r="D51" s="8">
        <v>130</v>
      </c>
      <c r="E51" s="8">
        <v>16</v>
      </c>
      <c r="F51" s="8">
        <v>1830</v>
      </c>
    </row>
    <row r="52" spans="1:6" x14ac:dyDescent="0.25">
      <c r="A52" s="8" t="s">
        <v>91</v>
      </c>
      <c r="B52" s="8">
        <v>8</v>
      </c>
      <c r="C52" s="8">
        <v>16</v>
      </c>
      <c r="D52" s="8">
        <v>140</v>
      </c>
      <c r="E52" s="8">
        <v>18</v>
      </c>
      <c r="F52" s="8">
        <f>145*25.4</f>
        <v>3683</v>
      </c>
    </row>
    <row r="53" spans="1:6" x14ac:dyDescent="0.25">
      <c r="A53" s="8" t="s">
        <v>92</v>
      </c>
      <c r="B53" s="8">
        <v>4</v>
      </c>
      <c r="C53" s="8">
        <v>8</v>
      </c>
      <c r="D53" s="8">
        <v>100</v>
      </c>
      <c r="E53" s="8">
        <v>10</v>
      </c>
      <c r="F53" s="8">
        <v>1830</v>
      </c>
    </row>
    <row r="54" spans="1:6" x14ac:dyDescent="0.25">
      <c r="A54" s="8" t="s">
        <v>93</v>
      </c>
      <c r="B54" s="8">
        <v>5</v>
      </c>
      <c r="C54" s="8">
        <v>10</v>
      </c>
      <c r="D54" s="8">
        <v>110</v>
      </c>
      <c r="E54" s="8">
        <v>12</v>
      </c>
      <c r="F54" s="8">
        <f>145*25.4</f>
        <v>3683</v>
      </c>
    </row>
    <row r="55" spans="1:6" x14ac:dyDescent="0.25">
      <c r="A55" s="8" t="s">
        <v>94</v>
      </c>
      <c r="B55" s="8">
        <v>6</v>
      </c>
      <c r="C55" s="8">
        <v>12</v>
      </c>
      <c r="D55" s="8">
        <v>120</v>
      </c>
      <c r="E55" s="8">
        <v>14</v>
      </c>
      <c r="F55" s="8">
        <v>7340</v>
      </c>
    </row>
    <row r="56" spans="1:6" x14ac:dyDescent="0.25">
      <c r="A56" s="8" t="s">
        <v>95</v>
      </c>
      <c r="B56" s="8">
        <v>7</v>
      </c>
      <c r="C56" s="8">
        <v>14</v>
      </c>
      <c r="D56" s="8">
        <v>130</v>
      </c>
      <c r="E56" s="8">
        <v>16</v>
      </c>
      <c r="F56" s="8">
        <v>1830</v>
      </c>
    </row>
    <row r="57" spans="1:6" x14ac:dyDescent="0.25">
      <c r="A57" s="8" t="s">
        <v>96</v>
      </c>
      <c r="B57" s="8">
        <v>8</v>
      </c>
      <c r="C57" s="8">
        <v>16</v>
      </c>
      <c r="D57" s="8">
        <v>140</v>
      </c>
      <c r="E57" s="8">
        <v>18</v>
      </c>
      <c r="F57" s="8">
        <v>50</v>
      </c>
    </row>
    <row r="58" spans="1:6" x14ac:dyDescent="0.25">
      <c r="A58" s="8" t="s">
        <v>97</v>
      </c>
      <c r="B58" s="8">
        <v>4</v>
      </c>
      <c r="C58" s="8">
        <v>8</v>
      </c>
      <c r="D58" s="8">
        <v>100</v>
      </c>
      <c r="E58" s="8">
        <v>10</v>
      </c>
      <c r="F58" s="8">
        <f>145*25.4</f>
        <v>3683</v>
      </c>
    </row>
    <row r="59" spans="1:6" x14ac:dyDescent="0.25">
      <c r="A59" s="8" t="s">
        <v>98</v>
      </c>
      <c r="B59" s="8">
        <v>5</v>
      </c>
      <c r="C59" s="8">
        <v>10</v>
      </c>
      <c r="D59" s="8">
        <v>110</v>
      </c>
      <c r="E59" s="8">
        <v>12</v>
      </c>
      <c r="F59" s="8">
        <v>1830</v>
      </c>
    </row>
    <row r="60" spans="1:6" x14ac:dyDescent="0.25">
      <c r="A60" s="8" t="s">
        <v>99</v>
      </c>
      <c r="B60" s="8">
        <v>6</v>
      </c>
      <c r="C60" s="8">
        <v>12</v>
      </c>
      <c r="D60" s="8">
        <v>120</v>
      </c>
      <c r="E60" s="8">
        <v>14</v>
      </c>
      <c r="F60" s="8">
        <v>50</v>
      </c>
    </row>
    <row r="61" spans="1:6" x14ac:dyDescent="0.25">
      <c r="A61" s="8" t="s">
        <v>100</v>
      </c>
      <c r="B61" s="8">
        <v>7</v>
      </c>
      <c r="C61" s="8">
        <v>14</v>
      </c>
      <c r="D61" s="8">
        <v>130</v>
      </c>
      <c r="E61" s="8">
        <v>16</v>
      </c>
      <c r="F61" s="8">
        <v>75</v>
      </c>
    </row>
    <row r="62" spans="1:6" x14ac:dyDescent="0.25">
      <c r="A62" s="8" t="s">
        <v>101</v>
      </c>
      <c r="B62" s="8">
        <v>8</v>
      </c>
      <c r="C62" s="8">
        <v>16</v>
      </c>
      <c r="D62" s="8">
        <v>140</v>
      </c>
      <c r="E62" s="8">
        <v>18</v>
      </c>
      <c r="F62" s="8">
        <v>100</v>
      </c>
    </row>
    <row r="63" spans="1:6" x14ac:dyDescent="0.25">
      <c r="A63" s="8" t="s">
        <v>102</v>
      </c>
      <c r="B63" s="8">
        <v>4</v>
      </c>
      <c r="C63" s="8">
        <v>8</v>
      </c>
      <c r="D63" s="8">
        <v>100</v>
      </c>
      <c r="E63" s="8">
        <v>10</v>
      </c>
      <c r="F63" s="8">
        <v>150</v>
      </c>
    </row>
    <row r="64" spans="1:6" x14ac:dyDescent="0.25">
      <c r="A64" s="8" t="s">
        <v>103</v>
      </c>
      <c r="B64" s="8">
        <v>5</v>
      </c>
      <c r="C64" s="8">
        <v>10</v>
      </c>
      <c r="D64" s="8">
        <v>110</v>
      </c>
      <c r="E64" s="8">
        <v>12</v>
      </c>
      <c r="F64" s="8">
        <v>200</v>
      </c>
    </row>
    <row r="65" spans="1:6" x14ac:dyDescent="0.25">
      <c r="A65" s="8" t="s">
        <v>104</v>
      </c>
      <c r="B65" s="8">
        <v>6</v>
      </c>
      <c r="C65" s="8">
        <v>12</v>
      </c>
      <c r="D65" s="8">
        <v>120</v>
      </c>
      <c r="E65" s="8">
        <v>14</v>
      </c>
      <c r="F65" s="8">
        <v>50</v>
      </c>
    </row>
    <row r="66" spans="1:6" x14ac:dyDescent="0.25">
      <c r="A66" s="8" t="s">
        <v>105</v>
      </c>
      <c r="B66" s="8">
        <v>7</v>
      </c>
      <c r="C66" s="8">
        <v>14</v>
      </c>
      <c r="D66" s="8">
        <v>130</v>
      </c>
      <c r="E66" s="8">
        <v>16</v>
      </c>
      <c r="F66" s="8">
        <v>100</v>
      </c>
    </row>
    <row r="67" spans="1:6" x14ac:dyDescent="0.25">
      <c r="A67" s="8" t="s">
        <v>106</v>
      </c>
      <c r="B67" s="8">
        <v>8</v>
      </c>
      <c r="C67" s="8">
        <v>16</v>
      </c>
      <c r="D67" s="8">
        <v>140</v>
      </c>
      <c r="E67" s="8">
        <v>18</v>
      </c>
      <c r="F67" s="8">
        <v>150</v>
      </c>
    </row>
    <row r="68" spans="1:6" x14ac:dyDescent="0.25">
      <c r="A68" s="8" t="s">
        <v>107</v>
      </c>
      <c r="B68" s="8">
        <v>4</v>
      </c>
      <c r="C68" s="8">
        <v>8</v>
      </c>
      <c r="D68" s="8">
        <v>100</v>
      </c>
      <c r="E68" s="8">
        <v>10</v>
      </c>
      <c r="F68" s="8">
        <v>200</v>
      </c>
    </row>
    <row r="69" spans="1:6" x14ac:dyDescent="0.25">
      <c r="A69" s="8" t="s">
        <v>108</v>
      </c>
      <c r="B69" s="8">
        <v>5</v>
      </c>
      <c r="C69" s="8">
        <v>10</v>
      </c>
      <c r="D69" s="8">
        <v>110</v>
      </c>
      <c r="E69" s="8">
        <v>12</v>
      </c>
      <c r="F69" s="8">
        <v>100</v>
      </c>
    </row>
    <row r="70" spans="1:6" x14ac:dyDescent="0.25">
      <c r="A70" s="8" t="s">
        <v>109</v>
      </c>
      <c r="B70" s="8">
        <v>6</v>
      </c>
      <c r="C70" s="8">
        <v>12</v>
      </c>
      <c r="D70" s="8">
        <v>120</v>
      </c>
      <c r="E70" s="8">
        <v>14</v>
      </c>
      <c r="F70" s="8">
        <v>150</v>
      </c>
    </row>
    <row r="71" spans="1:6" x14ac:dyDescent="0.25">
      <c r="A71" s="8" t="s">
        <v>110</v>
      </c>
      <c r="B71" s="8">
        <v>7</v>
      </c>
      <c r="C71" s="8">
        <v>14</v>
      </c>
      <c r="D71" s="8">
        <v>130</v>
      </c>
      <c r="E71" s="8">
        <v>16</v>
      </c>
      <c r="F71" s="8">
        <v>200</v>
      </c>
    </row>
    <row r="72" spans="1:6" x14ac:dyDescent="0.25">
      <c r="A72" s="8" t="s">
        <v>111</v>
      </c>
      <c r="B72" s="8">
        <v>8</v>
      </c>
      <c r="C72" s="8">
        <v>16</v>
      </c>
      <c r="D72" s="8">
        <v>140</v>
      </c>
      <c r="E72" s="8">
        <v>18</v>
      </c>
      <c r="F72" s="8">
        <v>7340</v>
      </c>
    </row>
    <row r="73" spans="1:6" x14ac:dyDescent="0.25">
      <c r="A73" s="8" t="s">
        <v>112</v>
      </c>
      <c r="B73" s="8">
        <v>4</v>
      </c>
      <c r="C73" s="8">
        <v>8</v>
      </c>
      <c r="D73" s="8">
        <v>100</v>
      </c>
      <c r="E73" s="8">
        <v>10</v>
      </c>
      <c r="F73" s="8">
        <v>100</v>
      </c>
    </row>
    <row r="74" spans="1:6" x14ac:dyDescent="0.25">
      <c r="A74" s="8" t="s">
        <v>113</v>
      </c>
      <c r="B74" s="8">
        <v>5</v>
      </c>
      <c r="C74" s="8">
        <v>10</v>
      </c>
      <c r="D74" s="8">
        <v>110</v>
      </c>
      <c r="E74" s="8">
        <v>12</v>
      </c>
      <c r="F74" s="8">
        <v>150</v>
      </c>
    </row>
    <row r="75" spans="1:6" x14ac:dyDescent="0.25">
      <c r="A75" s="8" t="s">
        <v>114</v>
      </c>
      <c r="B75" s="8">
        <v>6</v>
      </c>
      <c r="C75" s="8">
        <v>12</v>
      </c>
      <c r="D75" s="8">
        <v>120</v>
      </c>
      <c r="E75" s="8">
        <v>14</v>
      </c>
      <c r="F75" s="8">
        <v>200</v>
      </c>
    </row>
    <row r="76" spans="1:6" x14ac:dyDescent="0.25">
      <c r="A76" s="8" t="s">
        <v>115</v>
      </c>
      <c r="B76" s="8">
        <v>7</v>
      </c>
      <c r="C76" s="8">
        <v>14</v>
      </c>
      <c r="D76" s="8">
        <v>130</v>
      </c>
      <c r="E76" s="8">
        <v>16</v>
      </c>
      <c r="F76" s="8">
        <f>145*25.4</f>
        <v>3683</v>
      </c>
    </row>
    <row r="77" spans="1:6" x14ac:dyDescent="0.25">
      <c r="A77" s="8" t="s">
        <v>116</v>
      </c>
      <c r="B77" s="8">
        <v>8</v>
      </c>
      <c r="C77" s="8">
        <v>16</v>
      </c>
      <c r="D77" s="8">
        <v>140</v>
      </c>
      <c r="E77" s="8">
        <v>18</v>
      </c>
      <c r="F77" s="8">
        <v>1830</v>
      </c>
    </row>
    <row r="78" spans="1:6" x14ac:dyDescent="0.25">
      <c r="A78" s="8" t="s">
        <v>117</v>
      </c>
      <c r="B78" s="8">
        <v>4</v>
      </c>
      <c r="C78" s="8">
        <v>8</v>
      </c>
      <c r="D78" s="8">
        <v>100</v>
      </c>
      <c r="E78" s="8">
        <v>10</v>
      </c>
      <c r="F78" s="8">
        <f>145*25.4</f>
        <v>3683</v>
      </c>
    </row>
    <row r="79" spans="1:6" x14ac:dyDescent="0.25">
      <c r="A79" s="8" t="s">
        <v>118</v>
      </c>
      <c r="B79" s="8">
        <v>5</v>
      </c>
      <c r="C79" s="8">
        <v>10</v>
      </c>
      <c r="D79" s="8">
        <v>110</v>
      </c>
      <c r="E79" s="8">
        <v>12</v>
      </c>
      <c r="F79" s="8">
        <v>1830</v>
      </c>
    </row>
    <row r="80" spans="1:6" x14ac:dyDescent="0.25">
      <c r="A80" s="8" t="s">
        <v>119</v>
      </c>
      <c r="B80" s="8">
        <v>6</v>
      </c>
      <c r="C80" s="8">
        <v>12</v>
      </c>
      <c r="D80" s="8">
        <v>120</v>
      </c>
      <c r="E80" s="8">
        <v>14</v>
      </c>
      <c r="F80" s="8">
        <f>145*25.4</f>
        <v>3683</v>
      </c>
    </row>
    <row r="81" spans="1:6" x14ac:dyDescent="0.25">
      <c r="A81" s="8" t="s">
        <v>120</v>
      </c>
      <c r="B81" s="8">
        <v>7</v>
      </c>
      <c r="C81" s="8">
        <v>14</v>
      </c>
      <c r="D81" s="8">
        <v>130</v>
      </c>
      <c r="E81" s="8">
        <v>16</v>
      </c>
      <c r="F81" s="8">
        <v>7340</v>
      </c>
    </row>
    <row r="82" spans="1:6" x14ac:dyDescent="0.25">
      <c r="A82" s="8" t="s">
        <v>121</v>
      </c>
      <c r="B82" s="8">
        <v>8</v>
      </c>
      <c r="C82" s="8">
        <v>16</v>
      </c>
      <c r="D82" s="8">
        <v>140</v>
      </c>
      <c r="E82" s="8">
        <v>18</v>
      </c>
      <c r="F82" s="8">
        <v>1830</v>
      </c>
    </row>
    <row r="83" spans="1:6" x14ac:dyDescent="0.25">
      <c r="A83" s="8" t="s">
        <v>122</v>
      </c>
      <c r="B83" s="8">
        <v>4</v>
      </c>
      <c r="C83" s="8">
        <v>8</v>
      </c>
      <c r="D83" s="8">
        <v>100</v>
      </c>
      <c r="E83" s="8">
        <v>10</v>
      </c>
      <c r="F83" s="8">
        <f>145*25.4</f>
        <v>3683</v>
      </c>
    </row>
    <row r="84" spans="1:6" x14ac:dyDescent="0.25">
      <c r="A84" s="8" t="s">
        <v>123</v>
      </c>
      <c r="B84" s="8">
        <v>5</v>
      </c>
      <c r="C84" s="8">
        <v>10</v>
      </c>
      <c r="D84" s="8">
        <v>110</v>
      </c>
      <c r="E84" s="8">
        <v>12</v>
      </c>
      <c r="F84" s="8">
        <v>1830</v>
      </c>
    </row>
    <row r="85" spans="1:6" x14ac:dyDescent="0.25">
      <c r="A85" s="8" t="s">
        <v>124</v>
      </c>
      <c r="B85" s="8">
        <v>6</v>
      </c>
      <c r="C85" s="8">
        <v>12</v>
      </c>
      <c r="D85" s="8">
        <v>120</v>
      </c>
      <c r="E85" s="8">
        <v>14</v>
      </c>
      <c r="F85" s="8">
        <f>145*25.4</f>
        <v>3683</v>
      </c>
    </row>
    <row r="86" spans="1:6" x14ac:dyDescent="0.25">
      <c r="A86" s="8" t="s">
        <v>125</v>
      </c>
      <c r="B86" s="8">
        <v>7</v>
      </c>
      <c r="C86" s="8">
        <v>14</v>
      </c>
      <c r="D86" s="8">
        <v>130</v>
      </c>
      <c r="E86" s="8">
        <v>16</v>
      </c>
      <c r="F86" s="8">
        <v>7340</v>
      </c>
    </row>
    <row r="87" spans="1:6" x14ac:dyDescent="0.25">
      <c r="A87" s="8" t="s">
        <v>126</v>
      </c>
      <c r="B87" s="8">
        <v>8</v>
      </c>
      <c r="C87" s="8">
        <v>16</v>
      </c>
      <c r="D87" s="8">
        <v>140</v>
      </c>
      <c r="E87" s="8">
        <v>18</v>
      </c>
      <c r="F87" s="8">
        <v>1830</v>
      </c>
    </row>
    <row r="88" spans="1:6" x14ac:dyDescent="0.25">
      <c r="A88" s="8" t="s">
        <v>127</v>
      </c>
      <c r="B88" s="8">
        <v>4</v>
      </c>
      <c r="C88" s="8">
        <v>8</v>
      </c>
      <c r="D88" s="8">
        <v>100</v>
      </c>
      <c r="E88" s="8">
        <v>10</v>
      </c>
      <c r="F88" s="8">
        <v>50</v>
      </c>
    </row>
    <row r="89" spans="1:6" x14ac:dyDescent="0.25">
      <c r="A89" s="8" t="s">
        <v>128</v>
      </c>
      <c r="B89" s="8">
        <v>5</v>
      </c>
      <c r="C89" s="8">
        <v>10</v>
      </c>
      <c r="D89" s="8">
        <v>110</v>
      </c>
      <c r="E89" s="8">
        <v>12</v>
      </c>
      <c r="F89" s="8">
        <f>145*25.4</f>
        <v>3683</v>
      </c>
    </row>
    <row r="90" spans="1:6" x14ac:dyDescent="0.25">
      <c r="A90" s="8" t="s">
        <v>129</v>
      </c>
      <c r="B90" s="8">
        <v>6</v>
      </c>
      <c r="C90" s="8">
        <v>12</v>
      </c>
      <c r="D90" s="8">
        <v>120</v>
      </c>
      <c r="E90" s="8">
        <v>14</v>
      </c>
      <c r="F90" s="8">
        <v>1830</v>
      </c>
    </row>
    <row r="91" spans="1:6" x14ac:dyDescent="0.25">
      <c r="A91" s="8" t="s">
        <v>130</v>
      </c>
      <c r="B91" s="8">
        <v>7</v>
      </c>
      <c r="C91" s="8">
        <v>14</v>
      </c>
      <c r="D91" s="8">
        <v>130</v>
      </c>
      <c r="E91" s="8">
        <v>16</v>
      </c>
      <c r="F91" s="8">
        <f>145*25.4</f>
        <v>3683</v>
      </c>
    </row>
    <row r="92" spans="1:6" x14ac:dyDescent="0.25">
      <c r="A92" s="8" t="s">
        <v>131</v>
      </c>
      <c r="B92" s="8">
        <v>8</v>
      </c>
      <c r="C92" s="8">
        <v>16</v>
      </c>
      <c r="D92" s="8">
        <v>140</v>
      </c>
      <c r="E92" s="8">
        <v>18</v>
      </c>
      <c r="F92" s="8">
        <v>1830</v>
      </c>
    </row>
    <row r="93" spans="1:6" x14ac:dyDescent="0.25">
      <c r="A93" s="8" t="s">
        <v>132</v>
      </c>
      <c r="B93" s="8">
        <v>4</v>
      </c>
      <c r="C93" s="8">
        <v>8</v>
      </c>
      <c r="D93" s="8">
        <v>100</v>
      </c>
      <c r="E93" s="8">
        <v>10</v>
      </c>
      <c r="F93" s="8">
        <f>145*25.4</f>
        <v>3683</v>
      </c>
    </row>
    <row r="94" spans="1:6" x14ac:dyDescent="0.25">
      <c r="A94" s="8" t="s">
        <v>133</v>
      </c>
      <c r="B94" s="8">
        <v>5</v>
      </c>
      <c r="C94" s="8">
        <v>10</v>
      </c>
      <c r="D94" s="8">
        <v>110</v>
      </c>
      <c r="E94" s="8">
        <v>12</v>
      </c>
      <c r="F94" s="8">
        <v>7340</v>
      </c>
    </row>
    <row r="95" spans="1:6" x14ac:dyDescent="0.25">
      <c r="A95" s="8" t="s">
        <v>134</v>
      </c>
      <c r="B95" s="8">
        <v>6</v>
      </c>
      <c r="C95" s="8">
        <v>12</v>
      </c>
      <c r="D95" s="8">
        <v>120</v>
      </c>
      <c r="E95" s="8">
        <v>14</v>
      </c>
      <c r="F95" s="8">
        <v>1830</v>
      </c>
    </row>
    <row r="96" spans="1:6" x14ac:dyDescent="0.25">
      <c r="A96" s="8" t="s">
        <v>135</v>
      </c>
      <c r="B96" s="8">
        <v>7</v>
      </c>
      <c r="C96" s="8">
        <v>14</v>
      </c>
      <c r="D96" s="8">
        <v>130</v>
      </c>
      <c r="E96" s="8">
        <v>16</v>
      </c>
      <c r="F96" s="8">
        <v>50</v>
      </c>
    </row>
    <row r="97" spans="1:6" x14ac:dyDescent="0.25">
      <c r="A97" s="8" t="s">
        <v>136</v>
      </c>
      <c r="B97" s="8">
        <v>8</v>
      </c>
      <c r="C97" s="8">
        <v>16</v>
      </c>
      <c r="D97" s="8">
        <v>140</v>
      </c>
      <c r="E97" s="8">
        <v>18</v>
      </c>
      <c r="F97" s="8">
        <v>0</v>
      </c>
    </row>
    <row r="98" spans="1:6" x14ac:dyDescent="0.25">
      <c r="A98" s="8" t="s">
        <v>137</v>
      </c>
      <c r="B98" s="8">
        <v>4</v>
      </c>
      <c r="C98" s="8">
        <v>8</v>
      </c>
      <c r="D98" s="8">
        <v>100</v>
      </c>
      <c r="E98" s="8">
        <v>10</v>
      </c>
      <c r="F98" s="8">
        <f>145*25.4</f>
        <v>3683</v>
      </c>
    </row>
    <row r="99" spans="1:6" x14ac:dyDescent="0.25">
      <c r="A99" s="8" t="s">
        <v>138</v>
      </c>
      <c r="B99" s="8">
        <v>5</v>
      </c>
      <c r="C99" s="8">
        <v>10</v>
      </c>
      <c r="D99" s="8">
        <v>110</v>
      </c>
      <c r="E99" s="8">
        <v>12</v>
      </c>
      <c r="F99" s="8">
        <v>7340</v>
      </c>
    </row>
    <row r="100" spans="1:6" x14ac:dyDescent="0.25">
      <c r="A100" s="8" t="s">
        <v>139</v>
      </c>
      <c r="B100" s="8">
        <v>6</v>
      </c>
      <c r="C100" s="8">
        <v>12</v>
      </c>
      <c r="D100" s="8">
        <v>120</v>
      </c>
      <c r="E100" s="8">
        <v>14</v>
      </c>
      <c r="F100" s="8">
        <v>1830</v>
      </c>
    </row>
    <row r="101" spans="1:6" x14ac:dyDescent="0.25">
      <c r="A101" s="8" t="s">
        <v>140</v>
      </c>
      <c r="B101" s="8">
        <v>7</v>
      </c>
      <c r="C101" s="8">
        <v>14</v>
      </c>
      <c r="D101" s="8">
        <v>130</v>
      </c>
      <c r="E101" s="8">
        <v>16</v>
      </c>
      <c r="F101" s="8">
        <f>145*25.4</f>
        <v>3683</v>
      </c>
    </row>
    <row r="102" spans="1:6" x14ac:dyDescent="0.25">
      <c r="A102" s="8" t="s">
        <v>141</v>
      </c>
      <c r="B102" s="8">
        <v>8</v>
      </c>
      <c r="C102" s="8">
        <v>16</v>
      </c>
      <c r="D102" s="8">
        <v>140</v>
      </c>
      <c r="E102" s="8">
        <v>18</v>
      </c>
      <c r="F102" s="8">
        <v>7340</v>
      </c>
    </row>
    <row r="103" spans="1:6" x14ac:dyDescent="0.25">
      <c r="A103" s="8" t="s">
        <v>142</v>
      </c>
      <c r="B103" s="8">
        <v>4</v>
      </c>
      <c r="C103" s="8">
        <v>8</v>
      </c>
      <c r="D103" s="8">
        <v>100</v>
      </c>
      <c r="E103" s="8">
        <v>10</v>
      </c>
      <c r="F103" s="8">
        <v>7340</v>
      </c>
    </row>
    <row r="104" spans="1:6" x14ac:dyDescent="0.25">
      <c r="A104" s="8" t="s">
        <v>143</v>
      </c>
      <c r="B104" s="8">
        <v>5</v>
      </c>
      <c r="C104" s="8">
        <v>10</v>
      </c>
      <c r="D104" s="8">
        <v>110</v>
      </c>
      <c r="E104" s="8">
        <v>12</v>
      </c>
      <c r="F104" s="8">
        <v>75</v>
      </c>
    </row>
    <row r="105" spans="1:6" x14ac:dyDescent="0.25">
      <c r="A105" s="8" t="s">
        <v>144</v>
      </c>
      <c r="B105" s="8">
        <v>6</v>
      </c>
      <c r="C105" s="8">
        <v>12</v>
      </c>
      <c r="D105" s="8">
        <v>120</v>
      </c>
      <c r="E105" s="8">
        <v>14</v>
      </c>
      <c r="F105" s="8">
        <v>7340</v>
      </c>
    </row>
    <row r="106" spans="1:6" x14ac:dyDescent="0.25">
      <c r="A106" s="8" t="s">
        <v>145</v>
      </c>
      <c r="B106" s="8">
        <v>7</v>
      </c>
      <c r="C106" s="8">
        <v>14</v>
      </c>
      <c r="D106" s="8">
        <v>130</v>
      </c>
      <c r="E106" s="8">
        <v>16</v>
      </c>
      <c r="F106" s="8">
        <f>145*25.4</f>
        <v>3683</v>
      </c>
    </row>
    <row r="107" spans="1:6" x14ac:dyDescent="0.25">
      <c r="A107" s="8" t="s">
        <v>146</v>
      </c>
      <c r="B107" s="8">
        <v>8</v>
      </c>
      <c r="C107" s="8">
        <v>16</v>
      </c>
      <c r="D107" s="8">
        <v>140</v>
      </c>
      <c r="E107" s="8">
        <v>18</v>
      </c>
      <c r="F107" s="8">
        <v>7340</v>
      </c>
    </row>
    <row r="108" spans="1:6" x14ac:dyDescent="0.25">
      <c r="A108" s="8" t="s">
        <v>147</v>
      </c>
      <c r="B108" s="8">
        <v>4</v>
      </c>
      <c r="C108" s="8">
        <v>8</v>
      </c>
      <c r="D108" s="8">
        <v>100</v>
      </c>
      <c r="E108" s="8">
        <v>10</v>
      </c>
      <c r="F108" s="8">
        <v>1830</v>
      </c>
    </row>
    <row r="109" spans="1:6" x14ac:dyDescent="0.25">
      <c r="A109" s="8" t="s">
        <v>148</v>
      </c>
      <c r="B109" s="8">
        <v>5</v>
      </c>
      <c r="C109" s="8">
        <v>10</v>
      </c>
      <c r="D109" s="8">
        <v>110</v>
      </c>
      <c r="E109" s="8">
        <v>12</v>
      </c>
      <c r="F109" s="8">
        <f>145*25.4</f>
        <v>3683</v>
      </c>
    </row>
    <row r="110" spans="1:6" x14ac:dyDescent="0.25">
      <c r="A110" s="8" t="s">
        <v>149</v>
      </c>
      <c r="B110" s="8">
        <v>6</v>
      </c>
      <c r="C110" s="8">
        <v>12</v>
      </c>
      <c r="D110" s="8">
        <v>120</v>
      </c>
      <c r="E110" s="8">
        <v>14</v>
      </c>
      <c r="F110" s="8">
        <v>7340</v>
      </c>
    </row>
    <row r="111" spans="1:6" x14ac:dyDescent="0.25">
      <c r="A111" s="8" t="s">
        <v>150</v>
      </c>
      <c r="B111" s="8">
        <v>7</v>
      </c>
      <c r="C111" s="8">
        <v>14</v>
      </c>
      <c r="D111" s="8">
        <v>130</v>
      </c>
      <c r="E111" s="8">
        <v>16</v>
      </c>
      <c r="F111" s="8">
        <v>1830</v>
      </c>
    </row>
    <row r="112" spans="1:6" x14ac:dyDescent="0.25">
      <c r="A112" s="8" t="s">
        <v>151</v>
      </c>
      <c r="B112" s="8">
        <v>8</v>
      </c>
      <c r="C112" s="8">
        <v>16</v>
      </c>
      <c r="D112" s="8">
        <v>140</v>
      </c>
      <c r="E112" s="8">
        <v>18</v>
      </c>
      <c r="F112" s="8">
        <f t="shared" ref="F112:F113" si="0">145*25.4</f>
        <v>3683</v>
      </c>
    </row>
    <row r="113" spans="1:6" x14ac:dyDescent="0.25">
      <c r="A113" s="8" t="s">
        <v>152</v>
      </c>
      <c r="B113" s="8">
        <v>4</v>
      </c>
      <c r="C113" s="8">
        <v>8</v>
      </c>
      <c r="D113" s="8">
        <v>100</v>
      </c>
      <c r="E113" s="8">
        <v>10</v>
      </c>
      <c r="F113" s="8">
        <f t="shared" si="0"/>
        <v>3683</v>
      </c>
    </row>
    <row r="114" spans="1:6" x14ac:dyDescent="0.25">
      <c r="A114" s="8" t="s">
        <v>153</v>
      </c>
      <c r="B114" s="8">
        <v>5</v>
      </c>
      <c r="C114" s="8">
        <v>10</v>
      </c>
      <c r="D114" s="8">
        <v>110</v>
      </c>
      <c r="E114" s="8">
        <v>12</v>
      </c>
      <c r="F114" s="8">
        <v>7340</v>
      </c>
    </row>
    <row r="115" spans="1:6" x14ac:dyDescent="0.25">
      <c r="A115" s="8" t="s">
        <v>154</v>
      </c>
      <c r="B115" s="8">
        <v>6</v>
      </c>
      <c r="C115" s="8">
        <v>12</v>
      </c>
      <c r="D115" s="8">
        <v>120</v>
      </c>
      <c r="E115" s="8">
        <v>14</v>
      </c>
      <c r="F115" s="8">
        <v>1830</v>
      </c>
    </row>
    <row r="116" spans="1:6" x14ac:dyDescent="0.25">
      <c r="A116" s="8" t="s">
        <v>155</v>
      </c>
      <c r="B116" s="8">
        <v>7</v>
      </c>
      <c r="C116" s="8">
        <v>14</v>
      </c>
      <c r="D116" s="8">
        <v>130</v>
      </c>
      <c r="E116" s="8">
        <v>16</v>
      </c>
      <c r="F116" s="8">
        <f>145*25.4</f>
        <v>3683</v>
      </c>
    </row>
    <row r="117" spans="1:6" x14ac:dyDescent="0.25">
      <c r="A117" s="8" t="s">
        <v>156</v>
      </c>
      <c r="B117" s="8">
        <v>8</v>
      </c>
      <c r="C117" s="8">
        <v>16</v>
      </c>
      <c r="D117" s="8">
        <v>140</v>
      </c>
      <c r="E117" s="8">
        <v>18</v>
      </c>
      <c r="F117" s="8">
        <v>7340</v>
      </c>
    </row>
    <row r="118" spans="1:6" x14ac:dyDescent="0.25">
      <c r="A118" s="8" t="s">
        <v>157</v>
      </c>
      <c r="B118" s="8">
        <v>4</v>
      </c>
      <c r="C118" s="8">
        <v>8</v>
      </c>
      <c r="D118" s="8">
        <v>100</v>
      </c>
      <c r="E118" s="8">
        <v>10</v>
      </c>
      <c r="F118" s="8">
        <v>1830</v>
      </c>
    </row>
    <row r="119" spans="1:6" x14ac:dyDescent="0.25">
      <c r="A119" s="8" t="s">
        <v>158</v>
      </c>
      <c r="B119" s="8">
        <v>5</v>
      </c>
      <c r="C119" s="8">
        <v>10</v>
      </c>
      <c r="D119" s="8">
        <v>110</v>
      </c>
      <c r="E119" s="8">
        <v>12</v>
      </c>
      <c r="F119" s="8">
        <f>145*25.4</f>
        <v>3683</v>
      </c>
    </row>
    <row r="120" spans="1:6" x14ac:dyDescent="0.25">
      <c r="A120" s="8" t="s">
        <v>159</v>
      </c>
      <c r="B120" s="8">
        <v>6</v>
      </c>
      <c r="C120" s="8">
        <v>12</v>
      </c>
      <c r="D120" s="8">
        <v>120</v>
      </c>
      <c r="E120" s="8">
        <v>14</v>
      </c>
      <c r="F120" s="8">
        <v>7340</v>
      </c>
    </row>
    <row r="121" spans="1:6" x14ac:dyDescent="0.25">
      <c r="A121" s="8" t="s">
        <v>160</v>
      </c>
      <c r="B121" s="8">
        <v>7</v>
      </c>
      <c r="C121" s="8">
        <v>14</v>
      </c>
      <c r="D121" s="8">
        <v>130</v>
      </c>
      <c r="E121" s="8">
        <v>16</v>
      </c>
      <c r="F121" s="8">
        <v>1830</v>
      </c>
    </row>
    <row r="122" spans="1:6" x14ac:dyDescent="0.25">
      <c r="A122" s="8" t="s">
        <v>161</v>
      </c>
      <c r="B122" s="8">
        <v>8</v>
      </c>
      <c r="C122" s="8">
        <v>16</v>
      </c>
      <c r="D122" s="8">
        <v>140</v>
      </c>
      <c r="E122" s="8">
        <v>18</v>
      </c>
      <c r="F122" s="8">
        <f>145*25.4</f>
        <v>3683</v>
      </c>
    </row>
    <row r="123" spans="1:6" x14ac:dyDescent="0.25">
      <c r="A123" s="8" t="s">
        <v>162</v>
      </c>
      <c r="B123" s="8">
        <v>4</v>
      </c>
      <c r="C123" s="8">
        <v>8</v>
      </c>
      <c r="D123" s="8">
        <v>100</v>
      </c>
      <c r="E123" s="8">
        <v>10</v>
      </c>
      <c r="F123" s="8">
        <v>7340</v>
      </c>
    </row>
    <row r="124" spans="1:6" x14ac:dyDescent="0.25">
      <c r="A124" s="8" t="s">
        <v>163</v>
      </c>
      <c r="B124" s="8">
        <v>5</v>
      </c>
      <c r="C124" s="8">
        <v>10</v>
      </c>
      <c r="D124" s="8">
        <v>110</v>
      </c>
      <c r="E124" s="8">
        <v>12</v>
      </c>
      <c r="F124" s="8">
        <v>1830</v>
      </c>
    </row>
    <row r="125" spans="1:6" x14ac:dyDescent="0.25">
      <c r="A125" s="8" t="s">
        <v>164</v>
      </c>
      <c r="B125" s="8">
        <v>6</v>
      </c>
      <c r="C125" s="8">
        <v>12</v>
      </c>
      <c r="D125" s="8">
        <v>120</v>
      </c>
      <c r="E125" s="8">
        <v>14</v>
      </c>
      <c r="F125" s="8">
        <f>145*25.4</f>
        <v>3683</v>
      </c>
    </row>
    <row r="126" spans="1:6" x14ac:dyDescent="0.25">
      <c r="A126" s="8" t="s">
        <v>165</v>
      </c>
      <c r="B126" s="8">
        <v>7</v>
      </c>
      <c r="C126" s="8">
        <v>14</v>
      </c>
      <c r="D126" s="8">
        <v>130</v>
      </c>
      <c r="E126" s="8">
        <v>16</v>
      </c>
      <c r="F126" s="8">
        <v>7340</v>
      </c>
    </row>
    <row r="127" spans="1:6" x14ac:dyDescent="0.25">
      <c r="A127" s="8" t="s">
        <v>166</v>
      </c>
      <c r="B127" s="8">
        <v>8</v>
      </c>
      <c r="C127" s="8">
        <v>16</v>
      </c>
      <c r="D127" s="8">
        <v>140</v>
      </c>
      <c r="E127" s="8">
        <v>18</v>
      </c>
      <c r="F127" s="8">
        <f>145*25.4</f>
        <v>3683</v>
      </c>
    </row>
    <row r="128" spans="1:6" x14ac:dyDescent="0.25">
      <c r="A128" s="8" t="s">
        <v>167</v>
      </c>
      <c r="B128" s="8">
        <v>4</v>
      </c>
      <c r="C128" s="8">
        <v>8</v>
      </c>
      <c r="D128" s="8">
        <v>100</v>
      </c>
      <c r="E128" s="8">
        <v>10</v>
      </c>
      <c r="F128" s="8">
        <v>25</v>
      </c>
    </row>
    <row r="129" spans="1:6" x14ac:dyDescent="0.25">
      <c r="A129" s="8" t="s">
        <v>168</v>
      </c>
      <c r="B129" s="8">
        <v>5</v>
      </c>
      <c r="C129" s="8">
        <v>10</v>
      </c>
      <c r="D129" s="8">
        <v>110</v>
      </c>
      <c r="E129" s="8">
        <v>12</v>
      </c>
      <c r="F129" s="8">
        <v>7340</v>
      </c>
    </row>
    <row r="130" spans="1:6" x14ac:dyDescent="0.25">
      <c r="A130" s="8" t="s">
        <v>169</v>
      </c>
      <c r="B130" s="8">
        <v>6</v>
      </c>
      <c r="C130" s="8">
        <v>12</v>
      </c>
      <c r="D130" s="8">
        <v>120</v>
      </c>
      <c r="E130" s="8">
        <v>14</v>
      </c>
      <c r="F130" s="8">
        <v>1830</v>
      </c>
    </row>
    <row r="131" spans="1:6" x14ac:dyDescent="0.25">
      <c r="A131" s="8" t="s">
        <v>170</v>
      </c>
      <c r="B131" s="8">
        <v>7</v>
      </c>
      <c r="C131" s="8">
        <v>14</v>
      </c>
      <c r="D131" s="8">
        <v>130</v>
      </c>
      <c r="E131" s="8">
        <v>16</v>
      </c>
      <c r="F131" s="8">
        <f>145*25.4</f>
        <v>3683</v>
      </c>
    </row>
    <row r="132" spans="1:6" x14ac:dyDescent="0.25">
      <c r="A132" s="8" t="s">
        <v>171</v>
      </c>
      <c r="B132" s="8">
        <v>8</v>
      </c>
      <c r="C132" s="8">
        <v>16</v>
      </c>
      <c r="D132" s="8">
        <v>140</v>
      </c>
      <c r="E132" s="8">
        <v>18</v>
      </c>
      <c r="F132" s="8">
        <v>1830</v>
      </c>
    </row>
    <row r="133" spans="1:6" x14ac:dyDescent="0.25">
      <c r="A133" s="8" t="s">
        <v>172</v>
      </c>
      <c r="B133" s="8">
        <v>4</v>
      </c>
      <c r="C133" s="8">
        <v>8</v>
      </c>
      <c r="D133" s="8">
        <v>100</v>
      </c>
      <c r="E133" s="8">
        <v>10</v>
      </c>
      <c r="F133" s="8">
        <v>7340</v>
      </c>
    </row>
    <row r="134" spans="1:6" x14ac:dyDescent="0.25">
      <c r="A134" s="8" t="s">
        <v>173</v>
      </c>
      <c r="B134" s="8">
        <v>5</v>
      </c>
      <c r="C134" s="8">
        <v>10</v>
      </c>
      <c r="D134" s="8">
        <v>110</v>
      </c>
      <c r="E134" s="8">
        <v>12</v>
      </c>
      <c r="F134" s="8">
        <v>1830</v>
      </c>
    </row>
    <row r="135" spans="1:6" x14ac:dyDescent="0.25">
      <c r="A135" s="8" t="s">
        <v>174</v>
      </c>
      <c r="B135" s="8">
        <v>6</v>
      </c>
      <c r="C135" s="8">
        <v>12</v>
      </c>
      <c r="D135" s="8">
        <v>120</v>
      </c>
      <c r="E135" s="8">
        <v>14</v>
      </c>
      <c r="F135" s="8">
        <f>145*25.4</f>
        <v>3683</v>
      </c>
    </row>
    <row r="136" spans="1:6" x14ac:dyDescent="0.25">
      <c r="A136" s="8" t="s">
        <v>175</v>
      </c>
      <c r="B136" s="8">
        <v>7</v>
      </c>
      <c r="C136" s="8">
        <v>14</v>
      </c>
      <c r="D136" s="8">
        <v>130</v>
      </c>
      <c r="E136" s="8">
        <v>16</v>
      </c>
      <c r="F136" s="8">
        <v>1830</v>
      </c>
    </row>
    <row r="137" spans="1:6" x14ac:dyDescent="0.25">
      <c r="A137" s="8" t="s">
        <v>176</v>
      </c>
      <c r="B137" s="8">
        <v>8</v>
      </c>
      <c r="C137" s="8">
        <v>16</v>
      </c>
      <c r="D137" s="8">
        <v>140</v>
      </c>
      <c r="E137" s="8">
        <v>18</v>
      </c>
      <c r="F137" s="8">
        <f>145*25.4</f>
        <v>3683</v>
      </c>
    </row>
    <row r="138" spans="1:6" x14ac:dyDescent="0.25">
      <c r="A138" s="8" t="s">
        <v>177</v>
      </c>
      <c r="B138" s="8">
        <v>4</v>
      </c>
      <c r="C138" s="8">
        <v>8</v>
      </c>
      <c r="D138" s="8">
        <v>100</v>
      </c>
      <c r="E138" s="8">
        <v>10</v>
      </c>
      <c r="F138" s="8">
        <v>7340</v>
      </c>
    </row>
    <row r="139" spans="1:6" x14ac:dyDescent="0.25">
      <c r="A139" s="8" t="s">
        <v>178</v>
      </c>
      <c r="B139" s="8">
        <v>5</v>
      </c>
      <c r="C139" s="8">
        <v>10</v>
      </c>
      <c r="D139" s="8">
        <v>110</v>
      </c>
      <c r="E139" s="8">
        <v>12</v>
      </c>
      <c r="F139" s="8">
        <v>1830</v>
      </c>
    </row>
    <row r="140" spans="1:6" x14ac:dyDescent="0.25">
      <c r="A140" s="8" t="s">
        <v>179</v>
      </c>
      <c r="B140" s="8">
        <v>6</v>
      </c>
      <c r="C140" s="8">
        <v>12</v>
      </c>
      <c r="D140" s="8">
        <v>120</v>
      </c>
      <c r="E140" s="8">
        <v>14</v>
      </c>
      <c r="F140" s="8">
        <v>100</v>
      </c>
    </row>
    <row r="141" spans="1:6" x14ac:dyDescent="0.25">
      <c r="A141" s="8" t="s">
        <v>180</v>
      </c>
      <c r="B141" s="8">
        <v>7</v>
      </c>
      <c r="C141" s="8">
        <v>14</v>
      </c>
      <c r="D141" s="8">
        <v>130</v>
      </c>
      <c r="E141" s="8">
        <v>16</v>
      </c>
      <c r="F141" s="8">
        <v>150</v>
      </c>
    </row>
    <row r="142" spans="1:6" x14ac:dyDescent="0.25">
      <c r="A142" s="8" t="s">
        <v>181</v>
      </c>
      <c r="B142" s="8">
        <v>8</v>
      </c>
      <c r="C142" s="8">
        <v>16</v>
      </c>
      <c r="D142" s="8">
        <v>140</v>
      </c>
      <c r="E142" s="8">
        <v>18</v>
      </c>
      <c r="F142" s="8">
        <f>145*25.4</f>
        <v>3683</v>
      </c>
    </row>
    <row r="143" spans="1:6" x14ac:dyDescent="0.25">
      <c r="A143" s="8" t="s">
        <v>182</v>
      </c>
      <c r="B143" s="8">
        <v>4</v>
      </c>
      <c r="C143" s="8">
        <v>8</v>
      </c>
      <c r="D143" s="8">
        <v>100</v>
      </c>
      <c r="E143" s="8">
        <v>10</v>
      </c>
      <c r="F143" s="8">
        <v>7340</v>
      </c>
    </row>
    <row r="144" spans="1:6" x14ac:dyDescent="0.25">
      <c r="A144" s="8" t="s">
        <v>183</v>
      </c>
      <c r="B144" s="8">
        <v>5</v>
      </c>
      <c r="C144" s="8">
        <v>10</v>
      </c>
      <c r="D144" s="8">
        <v>110</v>
      </c>
      <c r="E144" s="8">
        <v>12</v>
      </c>
      <c r="F144" s="8">
        <v>1830</v>
      </c>
    </row>
    <row r="145" spans="1:6" x14ac:dyDescent="0.25">
      <c r="A145" s="8" t="s">
        <v>184</v>
      </c>
      <c r="B145" s="8">
        <v>6</v>
      </c>
      <c r="C145" s="8">
        <v>12</v>
      </c>
      <c r="D145" s="8">
        <v>120</v>
      </c>
      <c r="E145" s="8">
        <v>14</v>
      </c>
      <c r="F145" s="8">
        <f>145*25.4</f>
        <v>3683</v>
      </c>
    </row>
    <row r="146" spans="1:6" x14ac:dyDescent="0.25">
      <c r="A146" s="8" t="s">
        <v>185</v>
      </c>
      <c r="B146" s="8">
        <v>7</v>
      </c>
      <c r="C146" s="8">
        <v>14</v>
      </c>
      <c r="D146" s="8">
        <v>130</v>
      </c>
      <c r="E146" s="8">
        <v>16</v>
      </c>
      <c r="F146" s="8">
        <v>7340</v>
      </c>
    </row>
    <row r="147" spans="1:6" x14ac:dyDescent="0.25">
      <c r="A147" s="8" t="s">
        <v>186</v>
      </c>
      <c r="B147" s="8">
        <v>8</v>
      </c>
      <c r="C147" s="8">
        <v>16</v>
      </c>
      <c r="D147" s="8">
        <v>140</v>
      </c>
      <c r="E147" s="8">
        <v>18</v>
      </c>
      <c r="F147" s="8">
        <v>1830</v>
      </c>
    </row>
    <row r="148" spans="1:6" x14ac:dyDescent="0.25">
      <c r="A148" s="8" t="s">
        <v>187</v>
      </c>
      <c r="B148" s="8">
        <v>4</v>
      </c>
      <c r="C148" s="8">
        <v>8</v>
      </c>
      <c r="D148" s="8">
        <v>100</v>
      </c>
      <c r="E148" s="8">
        <v>10</v>
      </c>
      <c r="F148" s="8">
        <f>145*25.4</f>
        <v>3683</v>
      </c>
    </row>
    <row r="149" spans="1:6" x14ac:dyDescent="0.25">
      <c r="A149" s="8" t="s">
        <v>188</v>
      </c>
      <c r="B149" s="8">
        <v>5</v>
      </c>
      <c r="C149" s="8">
        <v>10</v>
      </c>
      <c r="D149" s="8">
        <v>110</v>
      </c>
      <c r="E149" s="8">
        <v>12</v>
      </c>
      <c r="F149" s="8">
        <v>7340</v>
      </c>
    </row>
    <row r="150" spans="1:6" x14ac:dyDescent="0.25">
      <c r="A150" s="8" t="s">
        <v>189</v>
      </c>
      <c r="B150" s="8">
        <v>6</v>
      </c>
      <c r="C150" s="8">
        <v>12</v>
      </c>
      <c r="D150" s="8">
        <v>120</v>
      </c>
      <c r="E150" s="8">
        <v>14</v>
      </c>
      <c r="F150" s="8">
        <v>1830</v>
      </c>
    </row>
    <row r="151" spans="1:6" x14ac:dyDescent="0.25">
      <c r="A151" s="8" t="s">
        <v>190</v>
      </c>
      <c r="B151" s="8">
        <v>7</v>
      </c>
      <c r="C151" s="8">
        <v>14</v>
      </c>
      <c r="D151" s="8">
        <v>130</v>
      </c>
      <c r="E151" s="8">
        <v>16</v>
      </c>
      <c r="F151" s="8">
        <f t="shared" ref="F151:F152" si="1">145*25.4</f>
        <v>3683</v>
      </c>
    </row>
    <row r="152" spans="1:6" x14ac:dyDescent="0.25">
      <c r="A152" s="8" t="s">
        <v>191</v>
      </c>
      <c r="B152" s="8">
        <v>8</v>
      </c>
      <c r="C152" s="8">
        <v>16</v>
      </c>
      <c r="D152" s="8">
        <v>140</v>
      </c>
      <c r="E152" s="8">
        <v>18</v>
      </c>
      <c r="F152" s="8">
        <f t="shared" si="1"/>
        <v>3683</v>
      </c>
    </row>
    <row r="153" spans="1:6" x14ac:dyDescent="0.25">
      <c r="A153" s="8" t="s">
        <v>192</v>
      </c>
      <c r="B153" s="8">
        <v>4</v>
      </c>
      <c r="C153" s="8">
        <v>8</v>
      </c>
      <c r="D153" s="8">
        <v>100</v>
      </c>
      <c r="E153" s="8">
        <v>10</v>
      </c>
      <c r="F153" s="8">
        <v>7340</v>
      </c>
    </row>
    <row r="154" spans="1:6" x14ac:dyDescent="0.25">
      <c r="A154" s="8" t="s">
        <v>193</v>
      </c>
      <c r="B154" s="8">
        <v>5</v>
      </c>
      <c r="C154" s="8">
        <v>10</v>
      </c>
      <c r="D154" s="8">
        <v>110</v>
      </c>
      <c r="E154" s="8">
        <v>12</v>
      </c>
      <c r="F154" s="8">
        <f>145*25.4</f>
        <v>3683</v>
      </c>
    </row>
    <row r="155" spans="1:6" x14ac:dyDescent="0.25">
      <c r="A155" s="8" t="s">
        <v>194</v>
      </c>
      <c r="B155" s="8">
        <v>6</v>
      </c>
      <c r="C155" s="8">
        <v>12</v>
      </c>
      <c r="D155" s="8">
        <v>120</v>
      </c>
      <c r="E155" s="8">
        <v>14</v>
      </c>
      <c r="F155" s="8">
        <v>7340</v>
      </c>
    </row>
    <row r="156" spans="1:6" x14ac:dyDescent="0.25">
      <c r="A156" s="8" t="s">
        <v>195</v>
      </c>
      <c r="B156" s="8">
        <v>7</v>
      </c>
      <c r="C156" s="8">
        <v>14</v>
      </c>
      <c r="D156" s="8">
        <v>130</v>
      </c>
      <c r="E156" s="8">
        <v>16</v>
      </c>
      <c r="F156" s="8">
        <v>1830</v>
      </c>
    </row>
    <row r="157" spans="1:6" x14ac:dyDescent="0.25">
      <c r="A157" s="8" t="s">
        <v>196</v>
      </c>
      <c r="B157" s="8">
        <v>8</v>
      </c>
      <c r="C157" s="8">
        <v>16</v>
      </c>
      <c r="D157" s="8">
        <v>140</v>
      </c>
      <c r="E157" s="8">
        <v>18</v>
      </c>
      <c r="F157" s="8">
        <f>145*25.4</f>
        <v>3683</v>
      </c>
    </row>
    <row r="158" spans="1:6" x14ac:dyDescent="0.25">
      <c r="A158" s="8" t="s">
        <v>197</v>
      </c>
      <c r="B158" s="8">
        <v>4</v>
      </c>
      <c r="C158" s="8">
        <v>8</v>
      </c>
      <c r="D158" s="8">
        <v>100</v>
      </c>
      <c r="E158" s="8">
        <v>10</v>
      </c>
      <c r="F158" s="8">
        <v>1830</v>
      </c>
    </row>
    <row r="159" spans="1:6" x14ac:dyDescent="0.25">
      <c r="A159" s="8" t="s">
        <v>198</v>
      </c>
      <c r="B159" s="8">
        <v>5</v>
      </c>
      <c r="C159" s="8">
        <v>10</v>
      </c>
      <c r="D159" s="8">
        <v>110</v>
      </c>
      <c r="E159" s="8">
        <v>12</v>
      </c>
      <c r="F159" s="8">
        <v>75</v>
      </c>
    </row>
    <row r="160" spans="1:6" x14ac:dyDescent="0.25">
      <c r="A160" s="8" t="s">
        <v>199</v>
      </c>
      <c r="B160" s="8">
        <v>6</v>
      </c>
      <c r="C160" s="8">
        <v>12</v>
      </c>
      <c r="D160" s="8">
        <v>120</v>
      </c>
      <c r="E160" s="8">
        <v>14</v>
      </c>
      <c r="F160" s="8">
        <f>145*25.4</f>
        <v>3683</v>
      </c>
    </row>
    <row r="161" spans="1:6" x14ac:dyDescent="0.25">
      <c r="A161" s="8" t="s">
        <v>200</v>
      </c>
      <c r="B161" s="8">
        <v>7</v>
      </c>
      <c r="C161" s="8">
        <v>14</v>
      </c>
      <c r="D161" s="8">
        <v>130</v>
      </c>
      <c r="E161" s="8">
        <v>16</v>
      </c>
      <c r="F161" s="8">
        <v>7340</v>
      </c>
    </row>
    <row r="162" spans="1:6" x14ac:dyDescent="0.25">
      <c r="A162" s="8" t="s">
        <v>201</v>
      </c>
      <c r="B162" s="8">
        <v>8</v>
      </c>
      <c r="C162" s="8">
        <v>16</v>
      </c>
      <c r="D162" s="8">
        <v>140</v>
      </c>
      <c r="E162" s="8">
        <v>18</v>
      </c>
      <c r="F162" s="8">
        <v>1830</v>
      </c>
    </row>
    <row r="163" spans="1:6" x14ac:dyDescent="0.25">
      <c r="A163" s="8" t="s">
        <v>202</v>
      </c>
      <c r="B163" s="8">
        <v>4</v>
      </c>
      <c r="C163" s="8">
        <v>8</v>
      </c>
      <c r="D163" s="8">
        <v>100</v>
      </c>
      <c r="E163" s="8">
        <v>10</v>
      </c>
      <c r="F163" s="8">
        <f>145*25.4</f>
        <v>3683</v>
      </c>
    </row>
    <row r="164" spans="1:6" x14ac:dyDescent="0.25">
      <c r="A164" s="8" t="s">
        <v>203</v>
      </c>
      <c r="B164" s="8">
        <v>5</v>
      </c>
      <c r="C164" s="8">
        <v>10</v>
      </c>
      <c r="D164" s="8">
        <v>110</v>
      </c>
      <c r="E164" s="8">
        <v>12</v>
      </c>
      <c r="F164" s="8">
        <v>7340</v>
      </c>
    </row>
    <row r="165" spans="1:6" x14ac:dyDescent="0.25">
      <c r="A165" s="8" t="s">
        <v>204</v>
      </c>
      <c r="B165" s="8">
        <v>6</v>
      </c>
      <c r="C165" s="8">
        <v>12</v>
      </c>
      <c r="D165" s="8">
        <v>120</v>
      </c>
      <c r="E165" s="8">
        <v>14</v>
      </c>
      <c r="F165" s="8">
        <v>3683</v>
      </c>
    </row>
    <row r="166" spans="1:6" x14ac:dyDescent="0.25">
      <c r="A166" s="8" t="s">
        <v>205</v>
      </c>
      <c r="B166" s="8">
        <v>7</v>
      </c>
      <c r="C166" s="8">
        <v>14</v>
      </c>
      <c r="D166" s="8">
        <v>130</v>
      </c>
      <c r="E166" s="8">
        <v>16</v>
      </c>
      <c r="F166" s="8">
        <v>7340</v>
      </c>
    </row>
    <row r="167" spans="1:6" x14ac:dyDescent="0.25">
      <c r="A167" s="8" t="s">
        <v>206</v>
      </c>
      <c r="B167" s="8">
        <v>8</v>
      </c>
      <c r="C167" s="8">
        <v>16</v>
      </c>
      <c r="D167" s="8">
        <v>140</v>
      </c>
      <c r="E167" s="8">
        <v>18</v>
      </c>
      <c r="F167" s="8">
        <v>1830</v>
      </c>
    </row>
    <row r="168" spans="1:6" x14ac:dyDescent="0.25">
      <c r="A168" s="8" t="s">
        <v>207</v>
      </c>
      <c r="B168" s="8">
        <v>4</v>
      </c>
      <c r="C168" s="8">
        <v>8</v>
      </c>
      <c r="D168" s="8">
        <v>100</v>
      </c>
      <c r="E168" s="8">
        <v>10</v>
      </c>
      <c r="F168" s="8">
        <v>3683</v>
      </c>
    </row>
    <row r="169" spans="1:6" x14ac:dyDescent="0.25">
      <c r="A169" s="8" t="s">
        <v>208</v>
      </c>
      <c r="B169" s="8">
        <v>5</v>
      </c>
      <c r="C169" s="8">
        <v>10</v>
      </c>
      <c r="D169" s="8">
        <v>110</v>
      </c>
      <c r="E169" s="8">
        <v>12</v>
      </c>
      <c r="F169" s="8">
        <v>7340</v>
      </c>
    </row>
    <row r="170" spans="1:6" x14ac:dyDescent="0.25">
      <c r="A170" s="8" t="s">
        <v>209</v>
      </c>
      <c r="B170" s="8">
        <v>6</v>
      </c>
      <c r="C170" s="8">
        <v>12</v>
      </c>
      <c r="D170" s="8">
        <v>120</v>
      </c>
      <c r="E170" s="8">
        <v>14</v>
      </c>
      <c r="F170" s="8">
        <v>1830</v>
      </c>
    </row>
    <row r="171" spans="1:6" x14ac:dyDescent="0.25">
      <c r="A171" s="8" t="s">
        <v>6</v>
      </c>
      <c r="B171" s="8">
        <v>7</v>
      </c>
      <c r="C171" s="8">
        <v>14</v>
      </c>
      <c r="D171" s="8">
        <v>130</v>
      </c>
      <c r="E171" s="8">
        <v>16</v>
      </c>
      <c r="F171" s="8">
        <v>3683</v>
      </c>
    </row>
    <row r="172" spans="1:6" x14ac:dyDescent="0.25">
      <c r="A172" s="8" t="s">
        <v>3</v>
      </c>
      <c r="B172" s="8">
        <v>8</v>
      </c>
      <c r="C172" s="8">
        <v>16</v>
      </c>
      <c r="D172" s="8">
        <v>140</v>
      </c>
      <c r="E172" s="8">
        <v>18</v>
      </c>
      <c r="F172" s="8">
        <v>3683</v>
      </c>
    </row>
    <row r="173" spans="1:6" x14ac:dyDescent="0.25">
      <c r="A173" s="8" t="s">
        <v>210</v>
      </c>
      <c r="B173" s="8">
        <v>4</v>
      </c>
      <c r="C173" s="8">
        <v>8</v>
      </c>
      <c r="D173" s="8">
        <v>100</v>
      </c>
      <c r="E173" s="8">
        <v>10</v>
      </c>
      <c r="F173" s="8">
        <v>3683</v>
      </c>
    </row>
    <row r="174" spans="1:6" x14ac:dyDescent="0.25">
      <c r="A174" s="8" t="s">
        <v>211</v>
      </c>
      <c r="B174" s="8">
        <v>5</v>
      </c>
      <c r="C174" s="8">
        <v>10</v>
      </c>
      <c r="D174" s="8">
        <v>110</v>
      </c>
      <c r="E174" s="8">
        <v>12</v>
      </c>
      <c r="F174" s="8">
        <v>7340</v>
      </c>
    </row>
    <row r="175" spans="1:6" x14ac:dyDescent="0.25">
      <c r="A175" s="8" t="s">
        <v>212</v>
      </c>
      <c r="B175" s="8">
        <v>6</v>
      </c>
      <c r="C175" s="8">
        <v>12</v>
      </c>
      <c r="D175" s="8">
        <v>120</v>
      </c>
      <c r="E175" s="8">
        <v>14</v>
      </c>
      <c r="F175" s="8">
        <v>1830</v>
      </c>
    </row>
    <row r="176" spans="1:6" x14ac:dyDescent="0.25">
      <c r="A176" s="8" t="s">
        <v>213</v>
      </c>
      <c r="B176" s="8">
        <v>7</v>
      </c>
      <c r="C176" s="8">
        <v>14</v>
      </c>
      <c r="D176" s="8">
        <v>130</v>
      </c>
      <c r="E176" s="8">
        <v>16</v>
      </c>
      <c r="F176" s="8">
        <v>3683</v>
      </c>
    </row>
    <row r="177" spans="1:6" x14ac:dyDescent="0.25">
      <c r="A177" s="8" t="s">
        <v>214</v>
      </c>
      <c r="B177" s="8">
        <v>8</v>
      </c>
      <c r="C177" s="8">
        <v>16</v>
      </c>
      <c r="D177" s="8">
        <v>140</v>
      </c>
      <c r="E177" s="8">
        <v>18</v>
      </c>
      <c r="F177" s="8">
        <v>3683</v>
      </c>
    </row>
    <row r="178" spans="1:6" x14ac:dyDescent="0.25">
      <c r="A178" s="8" t="s">
        <v>215</v>
      </c>
      <c r="B178" s="8">
        <v>4</v>
      </c>
      <c r="C178" s="8">
        <v>8</v>
      </c>
      <c r="D178" s="8">
        <v>100</v>
      </c>
      <c r="E178" s="8">
        <v>10</v>
      </c>
      <c r="F178" s="8">
        <v>7340</v>
      </c>
    </row>
    <row r="179" spans="1:6" x14ac:dyDescent="0.25">
      <c r="A179" s="8" t="s">
        <v>216</v>
      </c>
      <c r="B179" s="8">
        <v>5</v>
      </c>
      <c r="C179" s="8">
        <v>10</v>
      </c>
      <c r="D179" s="8">
        <v>110</v>
      </c>
      <c r="E179" s="8">
        <v>12</v>
      </c>
      <c r="F179" s="8">
        <v>1830</v>
      </c>
    </row>
    <row r="180" spans="1:6" x14ac:dyDescent="0.25">
      <c r="A180" s="8" t="s">
        <v>217</v>
      </c>
      <c r="B180" s="8">
        <v>6</v>
      </c>
      <c r="C180" s="8">
        <v>12</v>
      </c>
      <c r="D180" s="8">
        <v>120</v>
      </c>
      <c r="E180" s="8">
        <v>14</v>
      </c>
      <c r="F180" s="8">
        <v>3683</v>
      </c>
    </row>
    <row r="181" spans="1:6" x14ac:dyDescent="0.25">
      <c r="A181" s="8" t="s">
        <v>218</v>
      </c>
      <c r="B181" s="8">
        <v>7</v>
      </c>
      <c r="C181" s="8">
        <v>14</v>
      </c>
      <c r="D181" s="8">
        <v>130</v>
      </c>
      <c r="E181" s="8">
        <v>16</v>
      </c>
      <c r="F181" s="8">
        <v>7340</v>
      </c>
    </row>
    <row r="182" spans="1:6" x14ac:dyDescent="0.25">
      <c r="A182" s="8" t="s">
        <v>219</v>
      </c>
      <c r="B182" s="8">
        <v>8</v>
      </c>
      <c r="C182" s="8">
        <v>16</v>
      </c>
      <c r="D182" s="8">
        <v>140</v>
      </c>
      <c r="E182" s="8">
        <v>18</v>
      </c>
      <c r="F182" s="8">
        <v>3683</v>
      </c>
    </row>
    <row r="183" spans="1:6" x14ac:dyDescent="0.25">
      <c r="A183" s="8" t="s">
        <v>220</v>
      </c>
      <c r="B183" s="8">
        <v>4</v>
      </c>
      <c r="C183" s="8">
        <v>8</v>
      </c>
      <c r="D183" s="8">
        <v>100</v>
      </c>
      <c r="E183" s="8">
        <v>10</v>
      </c>
      <c r="F183" s="8">
        <v>3683</v>
      </c>
    </row>
    <row r="184" spans="1:6" x14ac:dyDescent="0.25">
      <c r="A184" s="8" t="s">
        <v>221</v>
      </c>
      <c r="B184" s="8">
        <v>5</v>
      </c>
      <c r="C184" s="8">
        <v>10</v>
      </c>
      <c r="D184" s="8">
        <v>110</v>
      </c>
      <c r="E184" s="8">
        <v>12</v>
      </c>
      <c r="F184" s="8">
        <v>3683</v>
      </c>
    </row>
    <row r="185" spans="1:6" x14ac:dyDescent="0.25">
      <c r="A185" s="8" t="s">
        <v>222</v>
      </c>
      <c r="B185" s="8">
        <v>6</v>
      </c>
      <c r="C185" s="8">
        <v>12</v>
      </c>
      <c r="D185" s="8">
        <v>120</v>
      </c>
      <c r="E185" s="8">
        <v>14</v>
      </c>
      <c r="F185" s="8">
        <v>7340</v>
      </c>
    </row>
    <row r="186" spans="1:6" x14ac:dyDescent="0.25">
      <c r="A186" s="8" t="s">
        <v>223</v>
      </c>
      <c r="B186" s="8">
        <v>7</v>
      </c>
      <c r="C186" s="8">
        <v>14</v>
      </c>
      <c r="D186" s="8">
        <v>130</v>
      </c>
      <c r="E186" s="8">
        <v>16</v>
      </c>
      <c r="F186" s="8">
        <v>1830</v>
      </c>
    </row>
    <row r="187" spans="1:6" x14ac:dyDescent="0.25">
      <c r="A187" s="8" t="s">
        <v>224</v>
      </c>
      <c r="B187" s="8">
        <v>8</v>
      </c>
      <c r="C187" s="8">
        <v>16</v>
      </c>
      <c r="D187" s="8">
        <v>140</v>
      </c>
      <c r="E187" s="8">
        <v>18</v>
      </c>
      <c r="F187" s="8">
        <v>3683</v>
      </c>
    </row>
    <row r="188" spans="1:6" x14ac:dyDescent="0.25">
      <c r="A188" s="8" t="s">
        <v>225</v>
      </c>
      <c r="B188" s="8">
        <v>4</v>
      </c>
      <c r="C188" s="8">
        <v>8</v>
      </c>
      <c r="D188" s="8">
        <v>100</v>
      </c>
      <c r="E188" s="8">
        <v>10</v>
      </c>
      <c r="F188" s="8">
        <v>3683</v>
      </c>
    </row>
    <row r="189" spans="1:6" x14ac:dyDescent="0.25">
      <c r="A189" s="8" t="s">
        <v>226</v>
      </c>
      <c r="B189" s="8">
        <v>5</v>
      </c>
      <c r="C189" s="8">
        <v>10</v>
      </c>
      <c r="D189" s="8">
        <v>110</v>
      </c>
      <c r="E189" s="8">
        <v>12</v>
      </c>
      <c r="F189" s="8">
        <v>7340</v>
      </c>
    </row>
    <row r="190" spans="1:6" x14ac:dyDescent="0.25">
      <c r="A190" s="8" t="s">
        <v>227</v>
      </c>
      <c r="B190" s="8">
        <v>6</v>
      </c>
      <c r="C190" s="8">
        <v>12</v>
      </c>
      <c r="D190" s="8">
        <v>120</v>
      </c>
      <c r="E190" s="8">
        <v>14</v>
      </c>
      <c r="F190" s="8">
        <v>3683</v>
      </c>
    </row>
    <row r="191" spans="1:6" x14ac:dyDescent="0.25">
      <c r="A191" s="8" t="s">
        <v>228</v>
      </c>
      <c r="B191" s="8">
        <v>7</v>
      </c>
      <c r="C191" s="8">
        <v>14</v>
      </c>
      <c r="D191" s="8">
        <v>130</v>
      </c>
      <c r="E191" s="8">
        <v>16</v>
      </c>
      <c r="F191" s="8">
        <v>7340</v>
      </c>
    </row>
    <row r="192" spans="1:6" x14ac:dyDescent="0.25">
      <c r="A192" s="8" t="s">
        <v>229</v>
      </c>
      <c r="B192" s="8">
        <v>8</v>
      </c>
      <c r="C192" s="8">
        <v>16</v>
      </c>
      <c r="D192" s="8">
        <v>140</v>
      </c>
      <c r="E192" s="8">
        <v>18</v>
      </c>
      <c r="F192" s="8">
        <v>1830</v>
      </c>
    </row>
    <row r="193" spans="1:6" x14ac:dyDescent="0.25">
      <c r="A193" s="8" t="s">
        <v>230</v>
      </c>
      <c r="B193" s="8">
        <v>4</v>
      </c>
      <c r="C193" s="8">
        <v>8</v>
      </c>
      <c r="D193" s="8">
        <v>100</v>
      </c>
      <c r="E193" s="8">
        <v>10</v>
      </c>
      <c r="F193" s="8">
        <v>3683</v>
      </c>
    </row>
    <row r="194" spans="1:6" x14ac:dyDescent="0.25">
      <c r="A194" s="8" t="s">
        <v>231</v>
      </c>
      <c r="B194" s="8">
        <v>5</v>
      </c>
      <c r="C194" s="8">
        <v>10</v>
      </c>
      <c r="D194" s="8">
        <v>110</v>
      </c>
      <c r="E194" s="8">
        <v>12</v>
      </c>
      <c r="F194" s="8">
        <v>3683</v>
      </c>
    </row>
    <row r="195" spans="1:6" x14ac:dyDescent="0.25">
      <c r="A195" s="8" t="s">
        <v>232</v>
      </c>
      <c r="B195" s="8">
        <v>6</v>
      </c>
      <c r="C195" s="8">
        <v>12</v>
      </c>
      <c r="D195" s="8">
        <v>120</v>
      </c>
      <c r="E195" s="8">
        <v>14</v>
      </c>
      <c r="F195" s="8">
        <v>3683</v>
      </c>
    </row>
    <row r="196" spans="1:6" x14ac:dyDescent="0.25">
      <c r="A196" s="8" t="s">
        <v>233</v>
      </c>
      <c r="B196" s="8">
        <v>7</v>
      </c>
      <c r="C196" s="8">
        <v>14</v>
      </c>
      <c r="D196" s="8">
        <v>130</v>
      </c>
      <c r="E196" s="8">
        <v>16</v>
      </c>
      <c r="F196" s="8">
        <v>3683</v>
      </c>
    </row>
    <row r="197" spans="1:6" x14ac:dyDescent="0.25">
      <c r="A197" s="8" t="s">
        <v>234</v>
      </c>
      <c r="B197" s="8">
        <v>8</v>
      </c>
      <c r="C197" s="8">
        <v>16</v>
      </c>
      <c r="D197" s="8">
        <v>140</v>
      </c>
      <c r="E197" s="8">
        <v>18</v>
      </c>
      <c r="F197" s="8">
        <v>3683</v>
      </c>
    </row>
    <row r="198" spans="1:6" x14ac:dyDescent="0.25">
      <c r="A198" s="8" t="s">
        <v>235</v>
      </c>
      <c r="B198" s="8">
        <v>4</v>
      </c>
      <c r="C198" s="8">
        <v>8</v>
      </c>
      <c r="D198" s="8">
        <v>100</v>
      </c>
      <c r="E198" s="8">
        <v>10</v>
      </c>
      <c r="F198" s="8">
        <v>3683</v>
      </c>
    </row>
    <row r="199" spans="1:6" x14ac:dyDescent="0.25">
      <c r="A199" s="8" t="s">
        <v>236</v>
      </c>
      <c r="B199" s="8">
        <v>5</v>
      </c>
      <c r="C199" s="8">
        <v>10</v>
      </c>
      <c r="D199" s="8">
        <v>110</v>
      </c>
      <c r="E199" s="8">
        <v>12</v>
      </c>
      <c r="F199" s="8">
        <v>3683</v>
      </c>
    </row>
    <row r="200" spans="1:6" x14ac:dyDescent="0.25">
      <c r="A200" s="8" t="s">
        <v>237</v>
      </c>
      <c r="B200" s="8">
        <v>6</v>
      </c>
      <c r="C200" s="8">
        <v>12</v>
      </c>
      <c r="D200" s="8">
        <v>120</v>
      </c>
      <c r="E200" s="8">
        <v>14</v>
      </c>
      <c r="F200" s="8">
        <v>50</v>
      </c>
    </row>
    <row r="201" spans="1:6" x14ac:dyDescent="0.25">
      <c r="A201" s="8" t="s">
        <v>238</v>
      </c>
      <c r="B201" s="8">
        <v>7</v>
      </c>
      <c r="C201" s="8">
        <v>14</v>
      </c>
      <c r="D201" s="8">
        <v>130</v>
      </c>
      <c r="E201" s="8">
        <v>16</v>
      </c>
      <c r="F201" s="8">
        <v>3683</v>
      </c>
    </row>
    <row r="202" spans="1:6" x14ac:dyDescent="0.25">
      <c r="A202" s="8" t="s">
        <v>239</v>
      </c>
      <c r="B202" s="8">
        <v>8</v>
      </c>
      <c r="C202" s="8">
        <v>16</v>
      </c>
      <c r="D202" s="8">
        <v>140</v>
      </c>
      <c r="E202" s="8">
        <v>18</v>
      </c>
      <c r="F202" s="8">
        <v>3683</v>
      </c>
    </row>
    <row r="203" spans="1:6" x14ac:dyDescent="0.25">
      <c r="A203" s="8" t="s">
        <v>240</v>
      </c>
      <c r="B203" s="8">
        <v>4</v>
      </c>
      <c r="C203" s="8">
        <v>8</v>
      </c>
      <c r="D203" s="8">
        <v>100</v>
      </c>
      <c r="E203" s="8">
        <v>10</v>
      </c>
      <c r="F203" s="8">
        <v>3683</v>
      </c>
    </row>
    <row r="204" spans="1:6" x14ac:dyDescent="0.25">
      <c r="A204" s="8" t="s">
        <v>241</v>
      </c>
      <c r="B204" s="8">
        <v>5</v>
      </c>
      <c r="C204" s="8">
        <v>10</v>
      </c>
      <c r="D204" s="8">
        <v>110</v>
      </c>
      <c r="E204" s="8">
        <v>12</v>
      </c>
      <c r="F204" s="8">
        <v>7340</v>
      </c>
    </row>
    <row r="205" spans="1:6" x14ac:dyDescent="0.25">
      <c r="A205" s="8" t="s">
        <v>242</v>
      </c>
      <c r="B205" s="8">
        <v>6</v>
      </c>
      <c r="C205" s="8">
        <v>12</v>
      </c>
      <c r="D205" s="8">
        <v>120</v>
      </c>
      <c r="E205" s="8">
        <v>14</v>
      </c>
      <c r="F205" s="8">
        <v>1830</v>
      </c>
    </row>
    <row r="206" spans="1:6" x14ac:dyDescent="0.25">
      <c r="A206" s="8" t="s">
        <v>243</v>
      </c>
      <c r="B206" s="8">
        <v>7</v>
      </c>
      <c r="C206" s="8">
        <v>14</v>
      </c>
      <c r="D206" s="8">
        <v>130</v>
      </c>
      <c r="E206" s="8">
        <v>16</v>
      </c>
      <c r="F206" s="8">
        <v>3683</v>
      </c>
    </row>
    <row r="207" spans="1:6" x14ac:dyDescent="0.25">
      <c r="A207" s="8" t="s">
        <v>244</v>
      </c>
      <c r="B207" s="8">
        <v>8</v>
      </c>
      <c r="C207" s="8">
        <v>16</v>
      </c>
      <c r="D207" s="8">
        <v>140</v>
      </c>
      <c r="E207" s="8">
        <v>18</v>
      </c>
      <c r="F207" s="8">
        <v>3683</v>
      </c>
    </row>
    <row r="208" spans="1:6" x14ac:dyDescent="0.25">
      <c r="A208" s="8" t="s">
        <v>245</v>
      </c>
      <c r="B208" s="8">
        <v>4</v>
      </c>
      <c r="C208" s="8">
        <v>8</v>
      </c>
      <c r="D208" s="8">
        <v>100</v>
      </c>
      <c r="E208" s="8">
        <v>10</v>
      </c>
      <c r="F208" s="8">
        <v>3683</v>
      </c>
    </row>
    <row r="209" spans="1:6" x14ac:dyDescent="0.25">
      <c r="A209" s="8" t="s">
        <v>246</v>
      </c>
      <c r="B209" s="8">
        <v>5</v>
      </c>
      <c r="C209" s="8">
        <v>10</v>
      </c>
      <c r="D209" s="8">
        <v>110</v>
      </c>
      <c r="E209" s="8">
        <v>12</v>
      </c>
      <c r="F209" s="8">
        <v>3683</v>
      </c>
    </row>
    <row r="210" spans="1:6" x14ac:dyDescent="0.25">
      <c r="A210" s="8" t="s">
        <v>247</v>
      </c>
      <c r="B210" s="8">
        <v>6</v>
      </c>
      <c r="C210" s="8">
        <v>12</v>
      </c>
      <c r="D210" s="8">
        <v>120</v>
      </c>
      <c r="E210" s="8">
        <v>14</v>
      </c>
      <c r="F210" s="8">
        <v>3683</v>
      </c>
    </row>
    <row r="211" spans="1:6" x14ac:dyDescent="0.25">
      <c r="A211" s="8" t="s">
        <v>248</v>
      </c>
      <c r="B211" s="8">
        <v>7</v>
      </c>
      <c r="C211" s="8">
        <v>14</v>
      </c>
      <c r="D211" s="8">
        <v>130</v>
      </c>
      <c r="E211" s="8">
        <v>16</v>
      </c>
      <c r="F211" s="8">
        <v>7340</v>
      </c>
    </row>
    <row r="212" spans="1:6" x14ac:dyDescent="0.25">
      <c r="A212" s="8" t="s">
        <v>249</v>
      </c>
      <c r="B212" s="8">
        <v>8</v>
      </c>
      <c r="C212" s="8">
        <v>16</v>
      </c>
      <c r="D212" s="8">
        <v>140</v>
      </c>
      <c r="E212" s="8">
        <v>18</v>
      </c>
      <c r="F212" s="8">
        <v>75</v>
      </c>
    </row>
    <row r="213" spans="1:6" x14ac:dyDescent="0.25">
      <c r="A213" s="8" t="s">
        <v>250</v>
      </c>
      <c r="B213" s="8">
        <v>4</v>
      </c>
      <c r="C213" s="8">
        <v>8</v>
      </c>
      <c r="D213" s="8">
        <v>100</v>
      </c>
      <c r="E213" s="8">
        <v>10</v>
      </c>
      <c r="F213" s="8">
        <v>50</v>
      </c>
    </row>
    <row r="214" spans="1:6" x14ac:dyDescent="0.25">
      <c r="A214" s="8" t="s">
        <v>251</v>
      </c>
      <c r="B214" s="8">
        <v>5</v>
      </c>
      <c r="C214" s="8">
        <v>10</v>
      </c>
      <c r="D214" s="8">
        <v>110</v>
      </c>
      <c r="E214" s="8">
        <v>12</v>
      </c>
      <c r="F214" s="8">
        <v>3683</v>
      </c>
    </row>
    <row r="215" spans="1:6" x14ac:dyDescent="0.25">
      <c r="A215" s="8" t="s">
        <v>252</v>
      </c>
      <c r="B215" s="8">
        <v>6</v>
      </c>
      <c r="C215" s="8">
        <v>12</v>
      </c>
      <c r="D215" s="8">
        <v>120</v>
      </c>
      <c r="E215" s="8">
        <v>14</v>
      </c>
      <c r="F215" s="8">
        <v>3683</v>
      </c>
    </row>
    <row r="216" spans="1:6" x14ac:dyDescent="0.25">
      <c r="A216" s="8" t="s">
        <v>253</v>
      </c>
      <c r="B216" s="8">
        <v>7</v>
      </c>
      <c r="C216" s="8">
        <v>14</v>
      </c>
      <c r="D216" s="8">
        <v>130</v>
      </c>
      <c r="E216" s="8">
        <v>16</v>
      </c>
      <c r="F216" s="8">
        <v>3683</v>
      </c>
    </row>
    <row r="217" spans="1:6" x14ac:dyDescent="0.25">
      <c r="A217" s="8" t="s">
        <v>254</v>
      </c>
      <c r="B217" s="8">
        <v>8</v>
      </c>
      <c r="C217" s="8">
        <v>16</v>
      </c>
      <c r="D217" s="8">
        <v>140</v>
      </c>
      <c r="E217" s="8">
        <v>18</v>
      </c>
      <c r="F217" s="8">
        <v>3683</v>
      </c>
    </row>
    <row r="218" spans="1:6" x14ac:dyDescent="0.25">
      <c r="A218" s="8" t="s">
        <v>255</v>
      </c>
      <c r="B218" s="8">
        <v>4</v>
      </c>
      <c r="C218" s="8">
        <v>8</v>
      </c>
      <c r="D218" s="8">
        <v>100</v>
      </c>
      <c r="E218" s="8">
        <v>10</v>
      </c>
      <c r="F218" s="8">
        <v>3683</v>
      </c>
    </row>
    <row r="219" spans="1:6" x14ac:dyDescent="0.25">
      <c r="A219" s="8" t="s">
        <v>256</v>
      </c>
      <c r="B219" s="8">
        <v>5</v>
      </c>
      <c r="C219" s="8">
        <v>10</v>
      </c>
      <c r="D219" s="8">
        <v>110</v>
      </c>
      <c r="E219" s="8">
        <v>12</v>
      </c>
      <c r="F219" s="8">
        <v>3683</v>
      </c>
    </row>
    <row r="220" spans="1:6" x14ac:dyDescent="0.25">
      <c r="A220" s="8" t="s">
        <v>257</v>
      </c>
      <c r="B220" s="8">
        <v>6</v>
      </c>
      <c r="C220" s="8">
        <v>12</v>
      </c>
      <c r="D220" s="8">
        <v>120</v>
      </c>
      <c r="E220" s="8">
        <v>14</v>
      </c>
      <c r="F220" s="8">
        <v>3683</v>
      </c>
    </row>
    <row r="221" spans="1:6" x14ac:dyDescent="0.25">
      <c r="A221" s="8" t="s">
        <v>258</v>
      </c>
      <c r="B221" s="8">
        <v>7</v>
      </c>
      <c r="C221" s="8">
        <v>14</v>
      </c>
      <c r="D221" s="8">
        <v>130</v>
      </c>
      <c r="E221" s="8">
        <v>16</v>
      </c>
      <c r="F221" s="8">
        <v>3683</v>
      </c>
    </row>
    <row r="222" spans="1:6" x14ac:dyDescent="0.25">
      <c r="A222" s="8" t="s">
        <v>259</v>
      </c>
      <c r="B222" s="8">
        <v>8</v>
      </c>
      <c r="C222" s="8">
        <v>16</v>
      </c>
      <c r="D222" s="8">
        <v>140</v>
      </c>
      <c r="E222" s="8">
        <v>18</v>
      </c>
      <c r="F222" s="8">
        <v>3683</v>
      </c>
    </row>
    <row r="223" spans="1:6" x14ac:dyDescent="0.25">
      <c r="A223" s="8" t="s">
        <v>260</v>
      </c>
      <c r="B223" s="8">
        <v>4</v>
      </c>
      <c r="C223" s="8">
        <v>8</v>
      </c>
      <c r="D223" s="8">
        <v>100</v>
      </c>
      <c r="E223" s="8">
        <v>10</v>
      </c>
      <c r="F223" s="8">
        <v>7340</v>
      </c>
    </row>
    <row r="224" spans="1:6" x14ac:dyDescent="0.25">
      <c r="A224" s="8" t="s">
        <v>261</v>
      </c>
      <c r="B224" s="8">
        <v>5</v>
      </c>
      <c r="C224" s="8">
        <v>10</v>
      </c>
      <c r="D224" s="8">
        <v>110</v>
      </c>
      <c r="E224" s="8">
        <v>12</v>
      </c>
      <c r="F224" s="8">
        <v>1830</v>
      </c>
    </row>
    <row r="225" spans="1:6" x14ac:dyDescent="0.25">
      <c r="A225" s="8" t="s">
        <v>262</v>
      </c>
      <c r="B225" s="8">
        <v>6</v>
      </c>
      <c r="C225" s="8">
        <v>12</v>
      </c>
      <c r="D225" s="8">
        <v>120</v>
      </c>
      <c r="E225" s="8">
        <v>14</v>
      </c>
      <c r="F225" s="8">
        <v>3683</v>
      </c>
    </row>
    <row r="226" spans="1:6" x14ac:dyDescent="0.25">
      <c r="A226" s="8" t="s">
        <v>263</v>
      </c>
      <c r="B226" s="8">
        <v>7</v>
      </c>
      <c r="C226" s="8">
        <v>14</v>
      </c>
      <c r="D226" s="8">
        <v>130</v>
      </c>
      <c r="E226" s="8">
        <v>16</v>
      </c>
      <c r="F226" s="8">
        <v>7340</v>
      </c>
    </row>
    <row r="227" spans="1:6" x14ac:dyDescent="0.25">
      <c r="A227" s="8" t="s">
        <v>264</v>
      </c>
      <c r="B227" s="8">
        <v>8</v>
      </c>
      <c r="C227" s="8">
        <v>16</v>
      </c>
      <c r="D227" s="8">
        <v>140</v>
      </c>
      <c r="E227" s="8">
        <v>18</v>
      </c>
      <c r="F227" s="8">
        <v>1830</v>
      </c>
    </row>
    <row r="228" spans="1:6" x14ac:dyDescent="0.25">
      <c r="A228" s="8" t="s">
        <v>265</v>
      </c>
      <c r="B228" s="8">
        <v>4</v>
      </c>
      <c r="C228" s="8">
        <v>8</v>
      </c>
      <c r="D228" s="8">
        <v>100</v>
      </c>
      <c r="E228" s="8">
        <v>10</v>
      </c>
      <c r="F228" s="8">
        <v>3683</v>
      </c>
    </row>
    <row r="229" spans="1:6" x14ac:dyDescent="0.25">
      <c r="A229" s="8" t="s">
        <v>266</v>
      </c>
      <c r="B229" s="8">
        <v>5</v>
      </c>
      <c r="C229" s="8">
        <v>10</v>
      </c>
      <c r="D229" s="8">
        <v>110</v>
      </c>
      <c r="E229" s="8">
        <v>12</v>
      </c>
      <c r="F229" s="8">
        <v>3683</v>
      </c>
    </row>
    <row r="230" spans="1:6" x14ac:dyDescent="0.25">
      <c r="A230" s="8" t="s">
        <v>267</v>
      </c>
      <c r="B230" s="8">
        <v>6</v>
      </c>
      <c r="C230" s="8">
        <v>12</v>
      </c>
      <c r="D230" s="8">
        <v>120</v>
      </c>
      <c r="E230" s="8">
        <v>14</v>
      </c>
      <c r="F230" s="8">
        <v>1830</v>
      </c>
    </row>
    <row r="231" spans="1:6" x14ac:dyDescent="0.25">
      <c r="A231" s="8" t="s">
        <v>268</v>
      </c>
      <c r="B231" s="8">
        <v>7</v>
      </c>
      <c r="C231" s="8">
        <v>14</v>
      </c>
      <c r="D231" s="8">
        <v>130</v>
      </c>
      <c r="E231" s="8">
        <v>16</v>
      </c>
      <c r="F231" s="8">
        <v>7340</v>
      </c>
    </row>
    <row r="232" spans="1:6" x14ac:dyDescent="0.25">
      <c r="A232" s="8" t="s">
        <v>269</v>
      </c>
      <c r="B232" s="8">
        <v>8</v>
      </c>
      <c r="C232" s="8">
        <v>16</v>
      </c>
      <c r="D232" s="8">
        <v>140</v>
      </c>
      <c r="E232" s="8">
        <v>18</v>
      </c>
      <c r="F232" s="8">
        <v>3683</v>
      </c>
    </row>
    <row r="233" spans="1:6" x14ac:dyDescent="0.25">
      <c r="A233" s="8" t="s">
        <v>270</v>
      </c>
      <c r="B233" s="8">
        <v>4</v>
      </c>
      <c r="C233" s="8">
        <v>8</v>
      </c>
      <c r="D233" s="8">
        <v>100</v>
      </c>
      <c r="E233" s="8">
        <v>10</v>
      </c>
      <c r="F233" s="8">
        <v>3683</v>
      </c>
    </row>
    <row r="234" spans="1:6" x14ac:dyDescent="0.25">
      <c r="A234" s="8" t="s">
        <v>271</v>
      </c>
      <c r="B234" s="8">
        <v>5</v>
      </c>
      <c r="C234" s="8">
        <v>10</v>
      </c>
      <c r="D234" s="8">
        <v>110</v>
      </c>
      <c r="E234" s="8">
        <v>12</v>
      </c>
      <c r="F234" s="8">
        <v>3683</v>
      </c>
    </row>
    <row r="235" spans="1:6" x14ac:dyDescent="0.25">
      <c r="A235" s="8" t="s">
        <v>272</v>
      </c>
      <c r="B235" s="8">
        <v>6</v>
      </c>
      <c r="C235" s="8">
        <v>12</v>
      </c>
      <c r="D235" s="8">
        <v>120</v>
      </c>
      <c r="E235" s="8">
        <v>14</v>
      </c>
      <c r="F235" s="8">
        <v>3683</v>
      </c>
    </row>
    <row r="236" spans="1:6" x14ac:dyDescent="0.25">
      <c r="A236" s="8" t="s">
        <v>273</v>
      </c>
      <c r="B236" s="8">
        <v>7</v>
      </c>
      <c r="C236" s="8">
        <v>14</v>
      </c>
      <c r="D236" s="8">
        <v>130</v>
      </c>
      <c r="E236" s="8">
        <v>16</v>
      </c>
      <c r="F236" s="8">
        <v>3683</v>
      </c>
    </row>
    <row r="237" spans="1:6" x14ac:dyDescent="0.25">
      <c r="A237" s="8" t="s">
        <v>274</v>
      </c>
      <c r="B237" s="8">
        <v>8</v>
      </c>
      <c r="C237" s="8">
        <v>16</v>
      </c>
      <c r="D237" s="8">
        <v>140</v>
      </c>
      <c r="E237" s="8">
        <v>18</v>
      </c>
      <c r="F237" s="8">
        <v>3683</v>
      </c>
    </row>
    <row r="238" spans="1:6" x14ac:dyDescent="0.25">
      <c r="A238" s="8" t="s">
        <v>275</v>
      </c>
      <c r="B238" s="8">
        <v>4</v>
      </c>
      <c r="C238" s="8">
        <v>8</v>
      </c>
      <c r="D238" s="8">
        <v>100</v>
      </c>
      <c r="E238" s="8">
        <v>10</v>
      </c>
      <c r="F238" s="8">
        <v>3683</v>
      </c>
    </row>
    <row r="239" spans="1:6" x14ac:dyDescent="0.25">
      <c r="A239" s="8" t="s">
        <v>276</v>
      </c>
      <c r="B239" s="8">
        <v>5</v>
      </c>
      <c r="C239" s="8">
        <v>10</v>
      </c>
      <c r="D239" s="8">
        <v>110</v>
      </c>
      <c r="E239" s="8">
        <v>12</v>
      </c>
      <c r="F239" s="8">
        <v>3683</v>
      </c>
    </row>
    <row r="240" spans="1:6" x14ac:dyDescent="0.25">
      <c r="A240" s="8" t="s">
        <v>277</v>
      </c>
      <c r="B240" s="8">
        <v>6</v>
      </c>
      <c r="C240" s="8">
        <v>12</v>
      </c>
      <c r="D240" s="8">
        <v>120</v>
      </c>
      <c r="E240" s="8">
        <v>14</v>
      </c>
      <c r="F240" s="8">
        <v>7340</v>
      </c>
    </row>
    <row r="241" spans="1:6" x14ac:dyDescent="0.25">
      <c r="A241" s="8" t="s">
        <v>278</v>
      </c>
      <c r="B241" s="8">
        <v>7</v>
      </c>
      <c r="C241" s="8">
        <v>14</v>
      </c>
      <c r="D241" s="8">
        <v>130</v>
      </c>
      <c r="E241" s="8">
        <v>16</v>
      </c>
      <c r="F241" s="8">
        <v>1830</v>
      </c>
    </row>
    <row r="242" spans="1:6" x14ac:dyDescent="0.25">
      <c r="A242" s="8" t="s">
        <v>279</v>
      </c>
      <c r="B242" s="8">
        <v>8</v>
      </c>
      <c r="C242" s="8">
        <v>16</v>
      </c>
      <c r="D242" s="8">
        <v>140</v>
      </c>
      <c r="E242" s="8">
        <v>18</v>
      </c>
      <c r="F242" s="8">
        <v>3683</v>
      </c>
    </row>
    <row r="243" spans="1:6" x14ac:dyDescent="0.25">
      <c r="A243" s="8" t="s">
        <v>280</v>
      </c>
      <c r="B243" s="8">
        <v>4</v>
      </c>
      <c r="C243" s="8">
        <v>8</v>
      </c>
      <c r="D243" s="8">
        <v>100</v>
      </c>
      <c r="E243" s="8">
        <v>10</v>
      </c>
      <c r="F243" s="8">
        <v>7340</v>
      </c>
    </row>
    <row r="244" spans="1:6" x14ac:dyDescent="0.25">
      <c r="A244" s="8" t="s">
        <v>281</v>
      </c>
      <c r="B244" s="8">
        <v>5</v>
      </c>
      <c r="C244" s="8">
        <v>10</v>
      </c>
      <c r="D244" s="8">
        <v>110</v>
      </c>
      <c r="E244" s="8">
        <v>12</v>
      </c>
      <c r="F244" s="8">
        <v>7340</v>
      </c>
    </row>
    <row r="245" spans="1:6" x14ac:dyDescent="0.25">
      <c r="A245" s="8" t="s">
        <v>282</v>
      </c>
      <c r="B245" s="8">
        <v>6</v>
      </c>
      <c r="C245" s="8">
        <v>12</v>
      </c>
      <c r="D245" s="8">
        <v>120</v>
      </c>
      <c r="E245" s="8">
        <v>14</v>
      </c>
      <c r="F245" s="8">
        <v>3683</v>
      </c>
    </row>
    <row r="246" spans="1:6" x14ac:dyDescent="0.25">
      <c r="A246" s="8" t="s">
        <v>283</v>
      </c>
      <c r="B246" s="8">
        <v>7</v>
      </c>
      <c r="C246" s="8">
        <v>14</v>
      </c>
      <c r="D246" s="8">
        <v>130</v>
      </c>
      <c r="E246" s="8">
        <v>16</v>
      </c>
      <c r="F246" s="8">
        <v>3683</v>
      </c>
    </row>
    <row r="247" spans="1:6" x14ac:dyDescent="0.25">
      <c r="A247" s="8" t="s">
        <v>284</v>
      </c>
      <c r="B247" s="8">
        <v>8</v>
      </c>
      <c r="C247" s="8">
        <v>16</v>
      </c>
      <c r="D247" s="8">
        <v>140</v>
      </c>
      <c r="E247" s="8">
        <v>18</v>
      </c>
      <c r="F247" s="8">
        <v>3683</v>
      </c>
    </row>
    <row r="248" spans="1:6" x14ac:dyDescent="0.25">
      <c r="A248" s="8" t="s">
        <v>285</v>
      </c>
      <c r="B248" s="8">
        <v>4</v>
      </c>
      <c r="C248" s="8">
        <v>8</v>
      </c>
      <c r="D248" s="8">
        <v>100</v>
      </c>
      <c r="E248" s="8">
        <v>10</v>
      </c>
      <c r="F248" s="8">
        <v>7340</v>
      </c>
    </row>
    <row r="249" spans="1:6" x14ac:dyDescent="0.25">
      <c r="A249" s="8" t="s">
        <v>286</v>
      </c>
      <c r="B249" s="8">
        <v>5</v>
      </c>
      <c r="C249" s="8">
        <v>10</v>
      </c>
      <c r="D249" s="8">
        <v>110</v>
      </c>
      <c r="E249" s="8">
        <v>12</v>
      </c>
      <c r="F249" s="8">
        <v>3683</v>
      </c>
    </row>
    <row r="250" spans="1:6" x14ac:dyDescent="0.25">
      <c r="A250" s="8" t="s">
        <v>287</v>
      </c>
      <c r="B250" s="8">
        <v>6</v>
      </c>
      <c r="C250" s="8">
        <v>12</v>
      </c>
      <c r="D250" s="8">
        <v>120</v>
      </c>
      <c r="E250" s="8">
        <v>14</v>
      </c>
      <c r="F250" s="8">
        <v>3683</v>
      </c>
    </row>
    <row r="251" spans="1:6" x14ac:dyDescent="0.25">
      <c r="A251" s="8" t="s">
        <v>288</v>
      </c>
      <c r="B251" s="8">
        <v>7</v>
      </c>
      <c r="C251" s="8">
        <v>14</v>
      </c>
      <c r="D251" s="8">
        <v>130</v>
      </c>
      <c r="E251" s="8">
        <v>16</v>
      </c>
      <c r="F251" s="8">
        <v>7340</v>
      </c>
    </row>
    <row r="252" spans="1:6" x14ac:dyDescent="0.25">
      <c r="A252" s="8" t="s">
        <v>289</v>
      </c>
      <c r="B252" s="8">
        <v>8</v>
      </c>
      <c r="C252" s="8">
        <v>16</v>
      </c>
      <c r="D252" s="8">
        <v>140</v>
      </c>
      <c r="E252" s="8">
        <v>18</v>
      </c>
      <c r="F252" s="8">
        <v>3683</v>
      </c>
    </row>
    <row r="253" spans="1:6" x14ac:dyDescent="0.25">
      <c r="A253" s="8" t="s">
        <v>290</v>
      </c>
      <c r="B253" s="8">
        <v>4</v>
      </c>
      <c r="C253" s="8">
        <v>8</v>
      </c>
      <c r="D253" s="8">
        <v>100</v>
      </c>
      <c r="E253" s="8">
        <v>10</v>
      </c>
      <c r="F253" s="8">
        <v>7340</v>
      </c>
    </row>
    <row r="254" spans="1:6" x14ac:dyDescent="0.25">
      <c r="A254" s="8" t="s">
        <v>291</v>
      </c>
      <c r="B254" s="8">
        <v>5</v>
      </c>
      <c r="C254" s="8">
        <v>10</v>
      </c>
      <c r="D254" s="8">
        <v>110</v>
      </c>
      <c r="E254" s="8">
        <v>12</v>
      </c>
      <c r="F254" s="8">
        <v>7340</v>
      </c>
    </row>
    <row r="255" spans="1:6" x14ac:dyDescent="0.25">
      <c r="A255" s="8" t="s">
        <v>292</v>
      </c>
      <c r="B255" s="8">
        <v>6</v>
      </c>
      <c r="C255" s="8">
        <v>12</v>
      </c>
      <c r="D255" s="8">
        <v>120</v>
      </c>
      <c r="E255" s="8">
        <v>14</v>
      </c>
      <c r="F255" s="8">
        <v>7340</v>
      </c>
    </row>
    <row r="256" spans="1:6" x14ac:dyDescent="0.25">
      <c r="A256" s="8" t="s">
        <v>293</v>
      </c>
      <c r="B256" s="8">
        <v>7</v>
      </c>
      <c r="C256" s="8">
        <v>14</v>
      </c>
      <c r="D256" s="8">
        <v>130</v>
      </c>
      <c r="E256" s="8">
        <v>16</v>
      </c>
      <c r="F256" s="8">
        <v>3683</v>
      </c>
    </row>
    <row r="257" spans="1:6" x14ac:dyDescent="0.25">
      <c r="A257" s="8" t="s">
        <v>294</v>
      </c>
      <c r="B257" s="8">
        <v>8</v>
      </c>
      <c r="C257" s="8">
        <v>16</v>
      </c>
      <c r="D257" s="8">
        <v>140</v>
      </c>
      <c r="E257" s="8">
        <v>18</v>
      </c>
      <c r="F257" s="8">
        <v>7340</v>
      </c>
    </row>
    <row r="258" spans="1:6" x14ac:dyDescent="0.25">
      <c r="A258" s="8" t="s">
        <v>295</v>
      </c>
      <c r="B258" s="8">
        <v>4</v>
      </c>
      <c r="C258" s="8">
        <v>8</v>
      </c>
      <c r="D258" s="8">
        <v>100</v>
      </c>
      <c r="E258" s="8">
        <v>10</v>
      </c>
      <c r="F258" s="8">
        <v>3683</v>
      </c>
    </row>
    <row r="259" spans="1:6" x14ac:dyDescent="0.25">
      <c r="A259" s="8" t="s">
        <v>296</v>
      </c>
      <c r="B259" s="8">
        <v>5</v>
      </c>
      <c r="C259" s="8">
        <v>10</v>
      </c>
      <c r="D259" s="8">
        <v>110</v>
      </c>
      <c r="E259" s="8">
        <v>12</v>
      </c>
      <c r="F259" s="8">
        <v>3683</v>
      </c>
    </row>
    <row r="260" spans="1:6" x14ac:dyDescent="0.25">
      <c r="A260" s="8" t="s">
        <v>297</v>
      </c>
      <c r="B260" s="8">
        <v>6</v>
      </c>
      <c r="C260" s="8">
        <v>12</v>
      </c>
      <c r="D260" s="8">
        <v>120</v>
      </c>
      <c r="E260" s="8">
        <v>14</v>
      </c>
      <c r="F260" s="8">
        <v>3683</v>
      </c>
    </row>
    <row r="261" spans="1:6" x14ac:dyDescent="0.25">
      <c r="A261" s="8" t="s">
        <v>298</v>
      </c>
      <c r="B261" s="8">
        <v>7</v>
      </c>
      <c r="C261" s="8">
        <v>14</v>
      </c>
      <c r="D261" s="8">
        <v>130</v>
      </c>
      <c r="E261" s="8">
        <v>16</v>
      </c>
      <c r="F261" s="8">
        <v>3683</v>
      </c>
    </row>
    <row r="262" spans="1:6" x14ac:dyDescent="0.25">
      <c r="A262" s="8" t="s">
        <v>299</v>
      </c>
      <c r="B262" s="8">
        <v>8</v>
      </c>
      <c r="C262" s="8">
        <v>16</v>
      </c>
      <c r="D262" s="8">
        <v>140</v>
      </c>
      <c r="E262" s="8">
        <v>18</v>
      </c>
      <c r="F262" s="8">
        <v>3683</v>
      </c>
    </row>
    <row r="263" spans="1:6" x14ac:dyDescent="0.25">
      <c r="A263" s="8" t="s">
        <v>300</v>
      </c>
      <c r="B263" s="8">
        <v>4</v>
      </c>
      <c r="C263" s="8">
        <v>8</v>
      </c>
      <c r="D263" s="8">
        <v>100</v>
      </c>
      <c r="E263" s="8">
        <v>10</v>
      </c>
      <c r="F263" s="8">
        <v>3683</v>
      </c>
    </row>
    <row r="264" spans="1:6" x14ac:dyDescent="0.25">
      <c r="A264" s="8" t="s">
        <v>301</v>
      </c>
      <c r="B264" s="8">
        <v>5</v>
      </c>
      <c r="C264" s="8">
        <v>10</v>
      </c>
      <c r="D264" s="8">
        <v>110</v>
      </c>
      <c r="E264" s="8">
        <v>12</v>
      </c>
      <c r="F264" s="8">
        <v>3683</v>
      </c>
    </row>
    <row r="265" spans="1:6" x14ac:dyDescent="0.25">
      <c r="A265" s="8" t="s">
        <v>302</v>
      </c>
      <c r="B265" s="8">
        <v>6</v>
      </c>
      <c r="C265" s="8">
        <v>12</v>
      </c>
      <c r="D265" s="8">
        <v>120</v>
      </c>
      <c r="E265" s="8">
        <v>14</v>
      </c>
      <c r="F265" s="8">
        <v>3683</v>
      </c>
    </row>
  </sheetData>
  <autoFilter ref="A2:F265" xr:uid="{DFC7933A-4EC6-402E-8D66-151F2377FE3A}"/>
  <mergeCells count="1">
    <mergeCell ref="B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H15"/>
  <sheetViews>
    <sheetView workbookViewId="0">
      <selection activeCell="E22" sqref="E22"/>
    </sheetView>
  </sheetViews>
  <sheetFormatPr defaultRowHeight="15" x14ac:dyDescent="0.25"/>
  <cols>
    <col min="1" max="1" width="9.85546875" bestFit="1" customWidth="1"/>
    <col min="2" max="2" width="21.28515625" customWidth="1"/>
    <col min="3" max="3" width="35" customWidth="1"/>
    <col min="4" max="4" width="14.28515625" customWidth="1"/>
    <col min="5" max="5" width="16.85546875" bestFit="1" customWidth="1"/>
    <col min="6" max="6" width="17.140625" bestFit="1" customWidth="1"/>
    <col min="7" max="7" width="17.28515625" bestFit="1" customWidth="1"/>
    <col min="8" max="8" width="16.28515625" bestFit="1" customWidth="1"/>
  </cols>
  <sheetData>
    <row r="1" spans="1:8" x14ac:dyDescent="0.25">
      <c r="A1" t="s">
        <v>0</v>
      </c>
      <c r="B1" t="s">
        <v>1</v>
      </c>
      <c r="C1" t="s">
        <v>14</v>
      </c>
      <c r="D1" t="s">
        <v>12</v>
      </c>
      <c r="E1" t="s">
        <v>11</v>
      </c>
      <c r="F1" t="s">
        <v>10</v>
      </c>
      <c r="G1" t="s">
        <v>9</v>
      </c>
      <c r="H1" t="s">
        <v>8</v>
      </c>
    </row>
    <row r="2" spans="1:8" x14ac:dyDescent="0.25">
      <c r="A2" t="s">
        <v>2</v>
      </c>
      <c r="B2" t="s">
        <v>3</v>
      </c>
      <c r="C2" t="s">
        <v>4</v>
      </c>
      <c r="D2">
        <v>16</v>
      </c>
      <c r="E2">
        <v>200</v>
      </c>
      <c r="F2">
        <v>150</v>
      </c>
      <c r="G2">
        <v>3683</v>
      </c>
      <c r="H2">
        <v>24.16</v>
      </c>
    </row>
    <row r="3" spans="1:8" x14ac:dyDescent="0.25">
      <c r="A3" t="s">
        <v>5</v>
      </c>
      <c r="B3" t="s">
        <v>6</v>
      </c>
      <c r="C3" t="s">
        <v>7</v>
      </c>
      <c r="D3">
        <v>100</v>
      </c>
      <c r="E3">
        <v>180</v>
      </c>
      <c r="F3">
        <v>120</v>
      </c>
      <c r="G3">
        <v>3683</v>
      </c>
      <c r="H3">
        <v>12</v>
      </c>
    </row>
    <row r="4" spans="1:8" x14ac:dyDescent="0.25">
      <c r="A4" t="s">
        <v>5</v>
      </c>
      <c r="B4" t="s">
        <v>3</v>
      </c>
      <c r="C4" t="s">
        <v>4</v>
      </c>
      <c r="D4">
        <v>16</v>
      </c>
      <c r="E4">
        <v>150</v>
      </c>
      <c r="F4">
        <v>100</v>
      </c>
      <c r="G4">
        <v>3683</v>
      </c>
      <c r="H4">
        <v>24.16</v>
      </c>
    </row>
    <row r="5" spans="1:8" x14ac:dyDescent="0.25">
      <c r="A5" t="s">
        <v>2</v>
      </c>
      <c r="B5" t="s">
        <v>6</v>
      </c>
      <c r="C5" t="s">
        <v>7</v>
      </c>
      <c r="D5">
        <v>100</v>
      </c>
      <c r="E5">
        <v>100</v>
      </c>
      <c r="F5">
        <v>90</v>
      </c>
      <c r="G5">
        <v>3683</v>
      </c>
      <c r="H5">
        <v>12</v>
      </c>
    </row>
    <row r="6" spans="1:8" x14ac:dyDescent="0.25">
      <c r="A6" t="s">
        <v>15</v>
      </c>
      <c r="B6" t="s">
        <v>16</v>
      </c>
      <c r="C6" t="s">
        <v>17</v>
      </c>
      <c r="D6">
        <v>23</v>
      </c>
      <c r="E6">
        <v>10</v>
      </c>
      <c r="F6">
        <v>10</v>
      </c>
      <c r="G6">
        <v>3683</v>
      </c>
      <c r="H6">
        <v>12</v>
      </c>
    </row>
    <row r="7" spans="1:8" x14ac:dyDescent="0.25">
      <c r="A7" t="s">
        <v>15</v>
      </c>
      <c r="B7" t="s">
        <v>18</v>
      </c>
      <c r="C7" t="s">
        <v>19</v>
      </c>
      <c r="D7">
        <v>45</v>
      </c>
      <c r="E7">
        <v>20</v>
      </c>
      <c r="F7">
        <v>20</v>
      </c>
      <c r="G7">
        <v>3683</v>
      </c>
      <c r="H7">
        <v>14</v>
      </c>
    </row>
    <row r="8" spans="1:8" x14ac:dyDescent="0.25">
      <c r="A8" t="s">
        <v>15</v>
      </c>
      <c r="B8" t="s">
        <v>20</v>
      </c>
      <c r="C8" t="s">
        <v>21</v>
      </c>
      <c r="D8">
        <v>12</v>
      </c>
      <c r="E8">
        <v>30</v>
      </c>
      <c r="F8">
        <v>30</v>
      </c>
      <c r="G8">
        <v>7391</v>
      </c>
      <c r="H8">
        <v>16</v>
      </c>
    </row>
    <row r="9" spans="1:8" x14ac:dyDescent="0.25">
      <c r="A9" t="s">
        <v>15</v>
      </c>
      <c r="B9" t="s">
        <v>22</v>
      </c>
      <c r="C9" t="s">
        <v>23</v>
      </c>
      <c r="D9">
        <v>4</v>
      </c>
      <c r="E9">
        <v>40</v>
      </c>
      <c r="F9">
        <v>40</v>
      </c>
      <c r="G9">
        <v>7391</v>
      </c>
      <c r="H9">
        <v>18</v>
      </c>
    </row>
    <row r="10" spans="1:8" x14ac:dyDescent="0.25">
      <c r="A10" t="s">
        <v>2</v>
      </c>
      <c r="B10" t="s">
        <v>24</v>
      </c>
      <c r="C10" t="s">
        <v>25</v>
      </c>
      <c r="D10">
        <v>8</v>
      </c>
      <c r="E10">
        <v>50</v>
      </c>
      <c r="F10">
        <v>50</v>
      </c>
      <c r="G10">
        <v>7391</v>
      </c>
      <c r="H10">
        <v>20</v>
      </c>
    </row>
    <row r="11" spans="1:8" x14ac:dyDescent="0.25">
      <c r="A11" t="s">
        <v>2</v>
      </c>
      <c r="B11" t="s">
        <v>26</v>
      </c>
      <c r="C11" t="s">
        <v>27</v>
      </c>
      <c r="D11">
        <v>10</v>
      </c>
      <c r="E11">
        <v>60</v>
      </c>
      <c r="F11">
        <v>60</v>
      </c>
      <c r="G11">
        <v>3683</v>
      </c>
      <c r="H11">
        <v>22</v>
      </c>
    </row>
    <row r="12" spans="1:8" x14ac:dyDescent="0.25">
      <c r="A12" t="s">
        <v>5</v>
      </c>
      <c r="B12" t="s">
        <v>28</v>
      </c>
      <c r="C12" t="s">
        <v>29</v>
      </c>
      <c r="D12">
        <v>12</v>
      </c>
      <c r="E12">
        <v>70</v>
      </c>
      <c r="F12">
        <v>70</v>
      </c>
      <c r="G12">
        <v>7391</v>
      </c>
      <c r="H12">
        <v>24</v>
      </c>
    </row>
    <row r="13" spans="1:8" x14ac:dyDescent="0.25">
      <c r="A13" t="s">
        <v>5</v>
      </c>
      <c r="B13" t="s">
        <v>30</v>
      </c>
      <c r="C13" t="s">
        <v>31</v>
      </c>
      <c r="D13">
        <v>100</v>
      </c>
      <c r="E13">
        <v>80</v>
      </c>
      <c r="F13">
        <v>80</v>
      </c>
      <c r="G13">
        <v>7391</v>
      </c>
      <c r="H13">
        <v>26</v>
      </c>
    </row>
    <row r="14" spans="1:8" x14ac:dyDescent="0.25">
      <c r="A14" t="s">
        <v>5</v>
      </c>
      <c r="B14" t="s">
        <v>32</v>
      </c>
      <c r="C14" t="s">
        <v>33</v>
      </c>
      <c r="D14">
        <v>20</v>
      </c>
      <c r="E14">
        <v>90</v>
      </c>
      <c r="F14">
        <v>90</v>
      </c>
      <c r="G14">
        <v>3683</v>
      </c>
      <c r="H14">
        <v>28</v>
      </c>
    </row>
    <row r="15" spans="1:8" x14ac:dyDescent="0.25">
      <c r="A15" t="s">
        <v>5</v>
      </c>
      <c r="B15" t="s">
        <v>34</v>
      </c>
      <c r="C15" t="s">
        <v>35</v>
      </c>
      <c r="D15">
        <v>8</v>
      </c>
      <c r="E15">
        <v>100</v>
      </c>
      <c r="F15">
        <v>100</v>
      </c>
      <c r="G15">
        <v>3683</v>
      </c>
      <c r="H15">
        <v>30</v>
      </c>
    </row>
  </sheetData>
  <phoneticPr fontId="1" type="noConversion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N2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0" sqref="G30"/>
    </sheetView>
  </sheetViews>
  <sheetFormatPr defaultRowHeight="15" x14ac:dyDescent="0.25"/>
  <cols>
    <col min="1" max="1" width="12.85546875" customWidth="1"/>
    <col min="2" max="2" width="12.7109375" customWidth="1"/>
    <col min="3" max="3" width="20.42578125" customWidth="1"/>
    <col min="4" max="4" width="15" bestFit="1" customWidth="1"/>
    <col min="5" max="5" width="18.42578125" customWidth="1"/>
    <col min="6" max="6" width="17.28515625" customWidth="1"/>
    <col min="7" max="7" width="14.42578125" bestFit="1" customWidth="1"/>
    <col min="8" max="8" width="15.5703125" customWidth="1"/>
    <col min="9" max="9" width="21" customWidth="1"/>
    <col min="10" max="10" width="22.7109375" customWidth="1"/>
    <col min="11" max="11" width="23" customWidth="1"/>
    <col min="12" max="12" width="25" customWidth="1"/>
    <col min="13" max="13" width="25.42578125" bestFit="1" customWidth="1"/>
  </cols>
  <sheetData>
    <row r="1" spans="1:14" ht="18" customHeight="1" thickBot="1" x14ac:dyDescent="0.3">
      <c r="A1" s="1" t="s">
        <v>0</v>
      </c>
      <c r="B1" s="2" t="s">
        <v>13</v>
      </c>
      <c r="C1" s="2" t="s">
        <v>1</v>
      </c>
      <c r="D1" s="2" t="s">
        <v>36</v>
      </c>
      <c r="E1" s="2" t="s">
        <v>14</v>
      </c>
      <c r="F1" s="2" t="s">
        <v>11</v>
      </c>
      <c r="G1" s="2" t="s">
        <v>10</v>
      </c>
      <c r="H1" s="2" t="s">
        <v>8</v>
      </c>
      <c r="I1" s="3" t="s">
        <v>37</v>
      </c>
      <c r="J1" s="5" t="s">
        <v>38</v>
      </c>
      <c r="K1" s="5" t="s">
        <v>39</v>
      </c>
      <c r="L1" s="5" t="s">
        <v>40</v>
      </c>
      <c r="M1" s="5"/>
    </row>
    <row r="2" spans="1:14" ht="15.75" thickTop="1" x14ac:dyDescent="0.25">
      <c r="J2" s="4"/>
      <c r="L2" s="4"/>
      <c r="M2" s="4"/>
      <c r="N2" s="4"/>
    </row>
  </sheetData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Package_Material</vt:lpstr>
      <vt:lpstr>Sub_Bundle_Dims</vt:lpstr>
      <vt:lpstr>SO_Input</vt:lpstr>
      <vt:lpstr>Optimized_Bundles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Braedon McRae</cp:lastModifiedBy>
  <dcterms:created xsi:type="dcterms:W3CDTF">2025-06-17T14:21:53Z</dcterms:created>
  <dcterms:modified xsi:type="dcterms:W3CDTF">2025-06-28T18:05:31Z</dcterms:modified>
</cp:coreProperties>
</file>